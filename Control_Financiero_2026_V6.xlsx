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TABLERO" sheetId="1" state="visible" r:id="rId1"/>
    <sheet xmlns:r="http://schemas.openxmlformats.org/officeDocument/2006/relationships" name="PRESUPUESTO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DEUDAS" sheetId="4" state="visible" r:id="rId4"/>
    <sheet xmlns:r="http://schemas.openxmlformats.org/officeDocument/2006/relationships" name="Configuración" sheetId="5" state="visible" r:id="rId5"/>
    <sheet xmlns:r="http://schemas.openxmlformats.org/officeDocument/2006/relationships" name="Ing-Egr Enero 2026" sheetId="6" state="visible" r:id="rId6"/>
    <sheet xmlns:r="http://schemas.openxmlformats.org/officeDocument/2006/relationships" name="Enero 2026" sheetId="7" state="visible" r:id="rId7"/>
    <sheet xmlns:r="http://schemas.openxmlformats.org/officeDocument/2006/relationships" name="Ing-Egr Febrero 2026" sheetId="8" state="visible" r:id="rId8"/>
    <sheet xmlns:r="http://schemas.openxmlformats.org/officeDocument/2006/relationships" name="Febrero 2026" sheetId="9" state="visible" r:id="rId9"/>
    <sheet xmlns:r="http://schemas.openxmlformats.org/officeDocument/2006/relationships" name="Ing-Egr Marzo 2026" sheetId="10" state="visible" r:id="rId10"/>
    <sheet xmlns:r="http://schemas.openxmlformats.org/officeDocument/2006/relationships" name="Marzo 2026" sheetId="11" state="visible" r:id="rId11"/>
    <sheet xmlns:r="http://schemas.openxmlformats.org/officeDocument/2006/relationships" name="Ing-Egr Abril 2026" sheetId="12" state="visible" r:id="rId12"/>
    <sheet xmlns:r="http://schemas.openxmlformats.org/officeDocument/2006/relationships" name="Abril 2026" sheetId="13" state="visible" r:id="rId13"/>
    <sheet xmlns:r="http://schemas.openxmlformats.org/officeDocument/2006/relationships" name="Ing-Egr Mayo 2026" sheetId="14" state="visible" r:id="rId14"/>
    <sheet xmlns:r="http://schemas.openxmlformats.org/officeDocument/2006/relationships" name="Mayo 2026" sheetId="15" state="visible" r:id="rId15"/>
    <sheet xmlns:r="http://schemas.openxmlformats.org/officeDocument/2006/relationships" name="Ing-Egr Junio 2026" sheetId="16" state="visible" r:id="rId16"/>
    <sheet xmlns:r="http://schemas.openxmlformats.org/officeDocument/2006/relationships" name="Junio 2026" sheetId="17" state="visible" r:id="rId17"/>
    <sheet xmlns:r="http://schemas.openxmlformats.org/officeDocument/2006/relationships" name="Ing-Egr Julio 2026" sheetId="18" state="visible" r:id="rId18"/>
    <sheet xmlns:r="http://schemas.openxmlformats.org/officeDocument/2006/relationships" name="Julio 2026" sheetId="19" state="visible" r:id="rId19"/>
    <sheet xmlns:r="http://schemas.openxmlformats.org/officeDocument/2006/relationships" name="Ing-Egr Agosto 2026" sheetId="20" state="visible" r:id="rId20"/>
    <sheet xmlns:r="http://schemas.openxmlformats.org/officeDocument/2006/relationships" name="Agosto 2026" sheetId="21" state="visible" r:id="rId21"/>
    <sheet xmlns:r="http://schemas.openxmlformats.org/officeDocument/2006/relationships" name="Ing-Egr Septiembre 2026" sheetId="22" state="visible" r:id="rId22"/>
    <sheet xmlns:r="http://schemas.openxmlformats.org/officeDocument/2006/relationships" name="Septiembre 2026" sheetId="23" state="visible" r:id="rId23"/>
    <sheet xmlns:r="http://schemas.openxmlformats.org/officeDocument/2006/relationships" name="Ing-Egr Octubre 2026" sheetId="24" state="visible" r:id="rId24"/>
    <sheet xmlns:r="http://schemas.openxmlformats.org/officeDocument/2006/relationships" name="Octubre 2026" sheetId="25" state="visible" r:id="rId25"/>
    <sheet xmlns:r="http://schemas.openxmlformats.org/officeDocument/2006/relationships" name="Ing-Egr Noviembre 2026" sheetId="26" state="visible" r:id="rId26"/>
    <sheet xmlns:r="http://schemas.openxmlformats.org/officeDocument/2006/relationships" name="Noviembre 2026" sheetId="27" state="visible" r:id="rId27"/>
    <sheet xmlns:r="http://schemas.openxmlformats.org/officeDocument/2006/relationships" name="Ing-Egr Diciembre 2026" sheetId="28" state="visible" r:id="rId28"/>
    <sheet xmlns:r="http://schemas.openxmlformats.org/officeDocument/2006/relationships" name="Diciembre 2026" sheetId="29" state="visible" r:id="rId2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mmm\-yy"/>
    <numFmt numFmtId="165" formatCode="&quot;Gs &quot;#,##0"/>
    <numFmt numFmtId="166" formatCode="dd/mm/yyyy"/>
    <numFmt numFmtId="167" formatCode="0.0%"/>
    <numFmt numFmtId="168" formatCode="DD/MM/YYYY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4"/>
    </font>
    <font>
      <name val="Cambria"/>
      <charset val="1"/>
      <family val="0"/>
      <b val="1"/>
      <sz val="11"/>
    </font>
    <font>
      <name val="Cambria"/>
      <charset val="1"/>
      <family val="0"/>
      <color rgb="FF0000FF"/>
      <sz val="11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color rgb="FFE74C3C"/>
      <sz val="14"/>
    </font>
    <font>
      <name val="Cambria"/>
      <charset val="1"/>
      <family val="0"/>
      <b val="1"/>
      <sz val="14"/>
    </font>
    <font>
      <name val="Cambria"/>
      <charset val="1"/>
      <family val="0"/>
      <b val="1"/>
      <sz val="12"/>
    </font>
    <font>
      <name val="Cambria"/>
      <charset val="1"/>
      <family val="0"/>
      <b val="1"/>
      <color rgb="FF1E8449"/>
      <sz val="14"/>
    </font>
    <font>
      <name val="Cambria"/>
      <charset val="1"/>
      <family val="0"/>
      <b val="1"/>
      <sz val="18"/>
    </font>
    <font>
      <name val="Cambria"/>
      <charset val="1"/>
      <family val="0"/>
      <i val="1"/>
      <sz val="10"/>
    </font>
    <font>
      <name val="Cambria"/>
      <charset val="1"/>
      <family val="0"/>
      <b val="1"/>
      <color rgb="FFE74C3C"/>
      <sz val="12"/>
    </font>
    <font>
      <name val="Cambria"/>
      <charset val="1"/>
      <family val="0"/>
      <i val="1"/>
      <color rgb="FF666666"/>
      <sz val="10"/>
    </font>
    <font>
      <name val="Cambria"/>
      <charset val="1"/>
      <family val="0"/>
      <sz val="11"/>
    </font>
    <font>
      <name val="Cambria"/>
      <charset val="1"/>
      <family val="0"/>
      <i val="1"/>
      <color rgb="FF666666"/>
      <sz val="11"/>
    </font>
    <font>
      <name val="Cambria"/>
      <charset val="1"/>
      <family val="0"/>
      <b val="1"/>
      <color rgb="FF2C3E50"/>
      <sz val="12"/>
    </font>
    <font>
      <name val="Cambria"/>
      <charset val="1"/>
      <family val="0"/>
      <sz val="10"/>
    </font>
    <font>
      <name val="Cambria"/>
      <charset val="1"/>
      <family val="0"/>
      <b val="1"/>
      <sz val="10"/>
    </font>
    <font>
      <name val="Cambria"/>
      <charset val="1"/>
      <family val="0"/>
      <b val="1"/>
      <color rgb="FF1E8449"/>
      <sz val="11"/>
    </font>
    <font>
      <name val="Cambria"/>
      <charset val="1"/>
      <family val="0"/>
      <b val="1"/>
      <color rgb="FFC0392B"/>
      <sz val="11"/>
    </font>
    <font>
      <name val="Cambria"/>
      <charset val="1"/>
      <family val="0"/>
      <color rgb="FF1E8449"/>
      <sz val="11"/>
    </font>
    <font>
      <name val="Cambria"/>
      <charset val="1"/>
      <family val="0"/>
      <color rgb="FF2980B9"/>
      <sz val="11"/>
    </font>
    <font>
      <name val="Cambria"/>
      <charset val="1"/>
      <family val="0"/>
      <color rgb="FF8E44AD"/>
      <sz val="11"/>
    </font>
    <font>
      <name val="Cambria"/>
      <charset val="1"/>
      <family val="0"/>
      <color rgb="FF27AE60"/>
      <sz val="11"/>
    </font>
    <font>
      <name val="Cambria"/>
      <charset val="1"/>
      <family val="0"/>
      <color rgb="FFD35400"/>
      <sz val="11"/>
    </font>
    <font>
      <name val="Cambria"/>
      <charset val="1"/>
      <family val="0"/>
      <color rgb="FF5D6D7E"/>
      <sz val="11"/>
    </font>
    <font>
      <name val="Cambria"/>
      <charset val="1"/>
      <family val="0"/>
      <color rgb="FFE74C3C"/>
      <sz val="11"/>
    </font>
    <font>
      <name val="Cambria"/>
      <charset val="1"/>
      <family val="0"/>
      <b val="1"/>
      <color rgb="FFE67E22"/>
      <sz val="11"/>
    </font>
    <font>
      <name val="Cambria"/>
      <charset val="1"/>
      <family val="0"/>
      <i val="1"/>
      <color rgb="FF7F8C8D"/>
      <sz val="9"/>
    </font>
    <font>
      <name val="Cambria"/>
      <charset val="1"/>
      <family val="0"/>
      <b val="1"/>
      <color rgb="FF2C3E50"/>
      <sz val="14"/>
    </font>
    <font>
      <name val="Cambria"/>
      <charset val="1"/>
      <family val="0"/>
      <b val="1"/>
      <color rgb="FF3498DB"/>
      <sz val="11"/>
    </font>
    <font>
      <name val="Cambria"/>
      <charset val="1"/>
      <family val="0"/>
      <b val="1"/>
      <color rgb="FF27AE60"/>
      <sz val="11"/>
    </font>
    <font>
      <name val="Cambria"/>
      <charset val="1"/>
      <family val="0"/>
      <b val="1"/>
      <color rgb="FFE74C3C"/>
      <sz val="11"/>
    </font>
    <font>
      <name val="Cambria"/>
      <charset val="1"/>
      <family val="0"/>
      <b val="1"/>
      <color rgb="FFF39C12"/>
      <sz val="11"/>
    </font>
    <font>
      <name val="Cambria"/>
      <charset val="1"/>
      <family val="0"/>
      <b val="1"/>
      <color rgb="FFD35400"/>
      <sz val="11"/>
    </font>
    <font>
      <name val="Cambria"/>
      <charset val="1"/>
      <family val="0"/>
      <color rgb="FFFFFFFF"/>
      <sz val="11"/>
    </font>
    <font>
      <name val="Cambria"/>
      <charset val="1"/>
      <family val="0"/>
      <b val="1"/>
      <color rgb="FF2980B9"/>
      <sz val="11"/>
    </font>
    <font>
      <name val="Cambria"/>
      <charset val="1"/>
      <family val="0"/>
      <b val="1"/>
      <color rgb="FF8E44AD"/>
      <sz val="11"/>
    </font>
    <font>
      <b val="1"/>
      <sz val="16"/>
    </font>
    <font>
      <i val="1"/>
      <color rgb="00666666"/>
      <sz val="10"/>
    </font>
    <font>
      <b val="1"/>
      <color rgb="00FFFFFF"/>
    </font>
    <font>
      <b val="1"/>
      <sz val="12"/>
    </font>
    <font>
      <b val="1"/>
      <color rgb="00FFFFFF"/>
      <sz val="12"/>
    </font>
    <font>
      <b val="1"/>
      <sz val="10"/>
    </font>
    <font>
      <color rgb="000000FF"/>
      <sz val="10"/>
    </font>
    <font>
      <b val="1"/>
    </font>
    <font>
      <b val="1"/>
      <sz val="11"/>
    </font>
    <font/>
    <font>
      <b val="1"/>
      <color rgb="00FFFFFF"/>
      <sz val="11"/>
    </font>
    <font>
      <b val="1"/>
      <sz val="9"/>
    </font>
    <font>
      <i val="1"/>
      <color rgb="00666666"/>
      <sz val="9"/>
    </font>
  </fonts>
  <fills count="43">
    <fill>
      <patternFill/>
    </fill>
    <fill>
      <patternFill patternType="gray125"/>
    </fill>
    <fill>
      <patternFill patternType="solid">
        <fgColor rgb="FF2F5496"/>
        <bgColor rgb="FF2C3E50"/>
      </patternFill>
    </fill>
    <fill>
      <patternFill patternType="solid">
        <fgColor rgb="FFFCF3CF"/>
        <bgColor rgb="FFFDEBD0"/>
      </patternFill>
    </fill>
    <fill>
      <patternFill patternType="solid">
        <fgColor rgb="FFE74C3C"/>
        <bgColor rgb="FFD35400"/>
      </patternFill>
    </fill>
    <fill>
      <patternFill patternType="solid">
        <fgColor rgb="FF5D6D7E"/>
        <bgColor rgb="FF666666"/>
      </patternFill>
    </fill>
    <fill>
      <patternFill patternType="solid">
        <fgColor rgb="FFFADBD8"/>
        <bgColor rgb="FFE8DAEF"/>
      </patternFill>
    </fill>
    <fill>
      <patternFill patternType="solid">
        <fgColor rgb="FFEAECEE"/>
        <bgColor rgb="FFECEFF1"/>
      </patternFill>
    </fill>
    <fill>
      <patternFill patternType="solid">
        <fgColor rgb="FFD5D8DC"/>
        <bgColor rgb="FFE0E0E0"/>
      </patternFill>
    </fill>
    <fill>
      <patternFill patternType="solid">
        <fgColor rgb="FF2980B9"/>
        <bgColor rgb="FF3498DB"/>
      </patternFill>
    </fill>
    <fill>
      <patternFill patternType="solid">
        <fgColor rgb="FF1E8449"/>
        <bgColor rgb="FF16A085"/>
      </patternFill>
    </fill>
    <fill>
      <patternFill patternType="solid">
        <fgColor rgb="FFD6EAF8"/>
        <bgColor rgb="FFD4EFDF"/>
      </patternFill>
    </fill>
    <fill>
      <patternFill patternType="solid">
        <fgColor rgb="FFD4EFDF"/>
        <bgColor rgb="FFD5F5E3"/>
      </patternFill>
    </fill>
    <fill>
      <patternFill patternType="solid">
        <fgColor rgb="FFAED6F1"/>
        <bgColor rgb="FFABEBC6"/>
      </patternFill>
    </fill>
    <fill>
      <patternFill patternType="solid">
        <fgColor rgb="FFD5F5E3"/>
        <bgColor rgb="FFD4EFDF"/>
      </patternFill>
    </fill>
    <fill>
      <patternFill patternType="solid">
        <fgColor rgb="FFABEBC6"/>
        <bgColor rgb="FFAED6F1"/>
      </patternFill>
    </fill>
    <fill>
      <patternFill patternType="solid">
        <fgColor rgb="FFD35400"/>
        <bgColor rgb="FFE74C3C"/>
      </patternFill>
    </fill>
    <fill>
      <patternFill patternType="solid">
        <fgColor rgb="FFFDEBD0"/>
        <bgColor rgb="FFFCF3CF"/>
      </patternFill>
    </fill>
    <fill>
      <patternFill patternType="solid">
        <fgColor rgb="FFFAD7A0"/>
        <bgColor rgb="FFFADBD8"/>
      </patternFill>
    </fill>
    <fill>
      <patternFill patternType="solid">
        <fgColor rgb="FF27AE60"/>
        <bgColor rgb="FF16A085"/>
      </patternFill>
    </fill>
    <fill>
      <patternFill patternType="solid">
        <fgColor rgb="FFF1C40F"/>
        <bgColor rgb="FFF39C12"/>
      </patternFill>
    </fill>
    <fill>
      <patternFill patternType="solid">
        <fgColor rgb="FF1ABC9C"/>
        <bgColor rgb="FF16A085"/>
      </patternFill>
    </fill>
    <fill>
      <patternFill patternType="solid">
        <fgColor rgb="FFE67E22"/>
        <bgColor rgb="FFF39C12"/>
      </patternFill>
    </fill>
    <fill>
      <patternFill patternType="solid">
        <fgColor rgb="FFFFFF99"/>
        <bgColor rgb="FFFCF3CF"/>
      </patternFill>
    </fill>
    <fill>
      <patternFill patternType="solid">
        <fgColor rgb="FF2C3E50"/>
        <bgColor rgb="FF003366"/>
      </patternFill>
    </fill>
    <fill>
      <patternFill patternType="solid">
        <fgColor rgb="FFF8F9FA"/>
        <bgColor rgb="FFFFFFFF"/>
      </patternFill>
    </fill>
    <fill>
      <patternFill patternType="solid">
        <fgColor rgb="FFECEFF1"/>
        <bgColor rgb="FFEAECEE"/>
      </patternFill>
    </fill>
    <fill>
      <patternFill patternType="solid">
        <fgColor rgb="FF3498DB"/>
        <bgColor rgb="FF2980B9"/>
      </patternFill>
    </fill>
    <fill>
      <patternFill patternType="solid">
        <fgColor rgb="FFF39C12"/>
        <bgColor rgb="FFE67E22"/>
      </patternFill>
    </fill>
    <fill>
      <patternFill patternType="solid">
        <fgColor rgb="FFEBF5FB"/>
        <bgColor rgb="FFECEFF1"/>
      </patternFill>
    </fill>
    <fill>
      <patternFill patternType="solid">
        <fgColor rgb="FF8E44AD"/>
        <bgColor rgb="FF9B59B6"/>
      </patternFill>
    </fill>
    <fill>
      <patternFill patternType="solid">
        <fgColor rgb="FFE8DAEF"/>
        <bgColor rgb="FFE0E0E0"/>
      </patternFill>
    </fill>
    <fill>
      <patternFill patternType="solid">
        <fgColor rgb="FFF5EEF8"/>
        <bgColor rgb="FFECEFF1"/>
      </patternFill>
    </fill>
    <fill>
      <patternFill patternType="solid">
        <fgColor rgb="FF85929E"/>
        <bgColor rgb="FF7F8C8D"/>
      </patternFill>
    </fill>
    <fill>
      <patternFill patternType="solid">
        <fgColor rgb="004472C4"/>
        <bgColor rgb="004472C4"/>
      </patternFill>
    </fill>
    <fill>
      <patternFill patternType="solid">
        <fgColor rgb="001F4E79"/>
        <bgColor rgb="001F4E79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C65911"/>
        <bgColor rgb="00C65911"/>
      </patternFill>
    </fill>
    <fill>
      <patternFill patternType="solid">
        <fgColor rgb="00FFFFCC"/>
        <bgColor rgb="00FFFFCC"/>
      </patternFill>
    </fill>
    <fill>
      <patternFill patternType="solid">
        <fgColor rgb="00D6DCE5"/>
        <bgColor rgb="00D6DCE5"/>
      </patternFill>
    </fill>
    <fill>
      <patternFill patternType="solid">
        <fgColor rgb="00DDEBF7"/>
        <bgColor rgb="00DDEBF7"/>
      </patternFill>
    </fill>
  </fills>
  <borders count="1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/>
      <right/>
      <top/>
      <bottom style="medium">
        <color rgb="FF2C3E50"/>
      </bottom>
      <diagonal/>
    </border>
    <border>
      <left/>
      <right/>
      <top/>
      <bottom style="thin">
        <color rgb="FFE0E0E0"/>
      </bottom>
      <diagonal/>
    </border>
    <border>
      <left/>
      <right/>
      <top style="thin">
        <color rgb="FFBDC3C7"/>
      </top>
      <bottom/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164" fontId="6" fillId="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3" fontId="9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3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3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3" fontId="0" fillId="11" borderId="1" applyAlignment="1" pivotButton="0" quotePrefix="0" xfId="0">
      <alignment horizontal="center" vertical="center"/>
    </xf>
    <xf numFmtId="3" fontId="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general" vertical="bottom"/>
    </xf>
    <xf numFmtId="0" fontId="0" fillId="13" borderId="1" applyAlignment="1" pivotButton="0" quotePrefix="0" xfId="0">
      <alignment horizontal="left" vertical="center"/>
    </xf>
    <xf numFmtId="3" fontId="0" fillId="13" borderId="1" applyAlignment="1" pivotButton="0" quotePrefix="0" xfId="0">
      <alignment horizontal="center" vertical="center"/>
    </xf>
    <xf numFmtId="3" fontId="5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2" applyAlignment="1" pivotButton="0" quotePrefix="0" xfId="0">
      <alignment horizontal="general" vertical="bottom"/>
    </xf>
    <xf numFmtId="3" fontId="11" fillId="11" borderId="1" applyAlignment="1" pivotButton="0" quotePrefix="0" xfId="0">
      <alignment horizontal="center" vertical="center"/>
    </xf>
    <xf numFmtId="0" fontId="0" fillId="15" borderId="2" applyAlignment="1" pivotButton="0" quotePrefix="0" xfId="0">
      <alignment horizontal="general" vertical="bottom"/>
    </xf>
    <xf numFmtId="0" fontId="7" fillId="16" borderId="0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9" fontId="0" fillId="17" borderId="1" applyAlignment="1" pivotButton="0" quotePrefix="0" xfId="0">
      <alignment horizontal="center" vertical="center"/>
    </xf>
    <xf numFmtId="3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10" fontId="0" fillId="18" borderId="1" applyAlignment="1" pivotButton="0" quotePrefix="0" xfId="0">
      <alignment horizontal="center" vertical="center"/>
    </xf>
    <xf numFmtId="3" fontId="0" fillId="18" borderId="1" applyAlignment="1" pivotButton="0" quotePrefix="0" xfId="0">
      <alignment horizontal="center" vertical="center"/>
    </xf>
    <xf numFmtId="3" fontId="6" fillId="18" borderId="1" applyAlignment="1" pivotButton="0" quotePrefix="0" xfId="0">
      <alignment horizontal="center" vertical="center"/>
    </xf>
    <xf numFmtId="0" fontId="7" fillId="19" borderId="0" applyAlignment="1" pivotButton="0" quotePrefix="0" xfId="0">
      <alignment horizontal="center" vertical="center"/>
    </xf>
    <xf numFmtId="10" fontId="0" fillId="17" borderId="1" applyAlignment="1" pivotButton="0" quotePrefix="0" xfId="0">
      <alignment horizontal="center" vertical="center"/>
    </xf>
    <xf numFmtId="3" fontId="6" fillId="17" borderId="1" applyAlignment="1" pivotButton="0" quotePrefix="0" xfId="0">
      <alignment horizontal="center" vertical="center"/>
    </xf>
    <xf numFmtId="3" fontId="6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9" fontId="1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bottom"/>
    </xf>
    <xf numFmtId="3" fontId="6" fillId="14" borderId="1" applyAlignment="1" pivotButton="0" quotePrefix="0" xfId="0">
      <alignment horizontal="center" vertical="center"/>
    </xf>
    <xf numFmtId="3" fontId="6" fillId="15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bottom"/>
    </xf>
    <xf numFmtId="3" fontId="12" fillId="20" borderId="0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3" fontId="6" fillId="7" borderId="1" applyAlignment="1" pivotButton="0" quotePrefix="0" xfId="0">
      <alignment horizontal="general" vertical="bottom"/>
    </xf>
    <xf numFmtId="3" fontId="6" fillId="8" borderId="1" applyAlignment="1" pivotButton="0" quotePrefix="0" xfId="0">
      <alignment horizontal="general" vertical="bottom"/>
    </xf>
    <xf numFmtId="3" fontId="9" fillId="20" borderId="0" applyAlignment="1" pivotButton="0" quotePrefix="0" xfId="0">
      <alignment horizontal="general" vertical="bottom"/>
    </xf>
    <xf numFmtId="0" fontId="7" fillId="2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general" vertical="bottom"/>
    </xf>
    <xf numFmtId="0" fontId="13" fillId="2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general" vertical="bottom"/>
    </xf>
    <xf numFmtId="3" fontId="6" fillId="7" borderId="1" applyAlignment="1" pivotButton="0" quotePrefix="0" xfId="0">
      <alignment horizontal="center" vertical="center"/>
    </xf>
    <xf numFmtId="3" fontId="6" fillId="8" borderId="1" applyAlignment="1" pivotButton="0" quotePrefix="0" xfId="0">
      <alignment horizontal="center" vertical="center"/>
    </xf>
    <xf numFmtId="3" fontId="15" fillId="20" borderId="0" applyAlignment="1" pivotButton="0" quotePrefix="0" xfId="0">
      <alignment horizontal="general" vertical="bottom"/>
    </xf>
    <xf numFmtId="3" fontId="0" fillId="11" borderId="1" applyAlignment="1" pivotButton="0" quotePrefix="0" xfId="0">
      <alignment horizontal="general" vertical="bottom"/>
    </xf>
    <xf numFmtId="3" fontId="0" fillId="13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bottom"/>
    </xf>
    <xf numFmtId="0" fontId="8" fillId="21" borderId="1" applyAlignment="1" pivotButton="0" quotePrefix="0" xfId="0">
      <alignment horizontal="center" vertical="center"/>
    </xf>
    <xf numFmtId="0" fontId="8" fillId="21" borderId="0" applyAlignment="1" pivotButton="0" quotePrefix="0" xfId="0">
      <alignment horizontal="center" vertical="center"/>
    </xf>
    <xf numFmtId="0" fontId="8" fillId="21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8" fillId="22" borderId="0" applyAlignment="1" pivotButton="0" quotePrefix="0" xfId="0">
      <alignment horizontal="center" vertical="bottom"/>
    </xf>
    <xf numFmtId="9" fontId="6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9" fontId="17" fillId="23" borderId="0" applyAlignment="1" pivotButton="0" quotePrefix="0" xfId="0">
      <alignment horizontal="center" vertical="bottom"/>
    </xf>
    <xf numFmtId="9" fontId="17" fillId="0" borderId="0" applyAlignment="1" pivotButton="0" quotePrefix="0" xfId="0">
      <alignment horizontal="center" vertical="bottom"/>
    </xf>
    <xf numFmtId="10" fontId="17" fillId="23" borderId="0" applyAlignment="1" pivotButton="0" quotePrefix="0" xfId="0">
      <alignment horizontal="center" vertical="bottom"/>
    </xf>
    <xf numFmtId="10" fontId="17" fillId="23" borderId="0" applyAlignment="1" pivotButton="0" quotePrefix="0" xfId="0">
      <alignment horizontal="general" vertical="bottom"/>
    </xf>
    <xf numFmtId="9" fontId="17" fillId="23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8" fillId="24" borderId="3" applyAlignment="1" pivotButton="0" quotePrefix="0" xfId="0">
      <alignment horizontal="center" vertical="center"/>
    </xf>
    <xf numFmtId="165" fontId="8" fillId="24" borderId="3" applyAlignment="1" pivotButton="0" quotePrefix="0" xfId="0">
      <alignment horizontal="center" vertical="center"/>
    </xf>
    <xf numFmtId="166" fontId="20" fillId="25" borderId="4" applyAlignment="1" pivotButton="0" quotePrefix="0" xfId="0">
      <alignment horizontal="center" vertical="center"/>
    </xf>
    <xf numFmtId="165" fontId="20" fillId="25" borderId="4" applyAlignment="1" pivotButton="0" quotePrefix="0" xfId="0">
      <alignment horizontal="center" vertical="center"/>
    </xf>
    <xf numFmtId="165" fontId="20" fillId="25" borderId="4" applyAlignment="1" pivotButton="0" quotePrefix="0" xfId="0">
      <alignment horizontal="general" vertical="bottom"/>
    </xf>
    <xf numFmtId="0" fontId="20" fillId="25" borderId="4" applyAlignment="1" pivotButton="0" quotePrefix="0" xfId="0">
      <alignment horizontal="general" vertical="bottom"/>
    </xf>
    <xf numFmtId="165" fontId="20" fillId="25" borderId="4" applyAlignment="1" pivotButton="0" quotePrefix="0" xfId="0">
      <alignment horizontal="right" vertical="center"/>
    </xf>
    <xf numFmtId="0" fontId="20" fillId="25" borderId="4" applyAlignment="1" pivotButton="0" quotePrefix="0" xfId="0">
      <alignment horizontal="center" vertical="center"/>
    </xf>
    <xf numFmtId="166" fontId="20" fillId="26" borderId="4" applyAlignment="1" pivotButton="0" quotePrefix="0" xfId="0">
      <alignment horizontal="center" vertical="center"/>
    </xf>
    <xf numFmtId="165" fontId="20" fillId="26" borderId="4" applyAlignment="1" pivotButton="0" quotePrefix="0" xfId="0">
      <alignment horizontal="center" vertical="center"/>
    </xf>
    <xf numFmtId="165" fontId="20" fillId="26" borderId="4" applyAlignment="1" pivotButton="0" quotePrefix="0" xfId="0">
      <alignment horizontal="general" vertical="bottom"/>
    </xf>
    <xf numFmtId="0" fontId="20" fillId="26" borderId="4" applyAlignment="1" pivotButton="0" quotePrefix="0" xfId="0">
      <alignment horizontal="general" vertical="bottom"/>
    </xf>
    <xf numFmtId="165" fontId="20" fillId="26" borderId="4" applyAlignment="1" pivotButton="0" quotePrefix="0" xfId="0">
      <alignment horizontal="right" vertical="center"/>
    </xf>
    <xf numFmtId="0" fontId="20" fillId="26" borderId="4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165" fontId="22" fillId="0" borderId="0" applyAlignment="1" pivotButton="0" quotePrefix="0" xfId="0">
      <alignment horizontal="right" vertical="center"/>
    </xf>
    <xf numFmtId="165" fontId="23" fillId="0" borderId="0" applyAlignment="1" pivotButton="0" quotePrefix="0" xfId="0">
      <alignment horizontal="right" vertical="center"/>
    </xf>
    <xf numFmtId="165" fontId="17" fillId="0" borderId="0" applyAlignment="1" pivotButton="0" quotePrefix="0" xfId="0">
      <alignment horizontal="general" vertical="bottom"/>
    </xf>
    <xf numFmtId="165" fontId="24" fillId="0" borderId="0" applyAlignment="1" pivotButton="0" quotePrefix="0" xfId="0">
      <alignment horizontal="general" vertical="bottom"/>
    </xf>
    <xf numFmtId="165" fontId="25" fillId="0" borderId="0" applyAlignment="1" pivotButton="0" quotePrefix="0" xfId="0">
      <alignment horizontal="general" vertical="bottom"/>
    </xf>
    <xf numFmtId="165" fontId="26" fillId="0" borderId="0" applyAlignment="1" pivotButton="0" quotePrefix="0" xfId="0">
      <alignment horizontal="general" vertical="bottom"/>
    </xf>
    <xf numFmtId="165" fontId="27" fillId="0" borderId="0" applyAlignment="1" pivotButton="0" quotePrefix="0" xfId="0">
      <alignment horizontal="general" vertical="bottom"/>
    </xf>
    <xf numFmtId="165" fontId="22" fillId="0" borderId="0" applyAlignment="1" pivotButton="0" quotePrefix="0" xfId="0">
      <alignment horizontal="general" vertical="bottom"/>
    </xf>
    <xf numFmtId="165" fontId="28" fillId="0" borderId="0" applyAlignment="1" pivotButton="0" quotePrefix="0" xfId="0">
      <alignment horizontal="general" vertical="bottom"/>
    </xf>
    <xf numFmtId="165" fontId="29" fillId="0" borderId="0" applyAlignment="1" pivotButton="0" quotePrefix="0" xfId="0">
      <alignment horizontal="general" vertical="bottom"/>
    </xf>
    <xf numFmtId="165" fontId="30" fillId="0" borderId="0" applyAlignment="1" pivotButton="0" quotePrefix="0" xfId="0">
      <alignment horizontal="general" vertical="bottom"/>
    </xf>
    <xf numFmtId="165" fontId="23" fillId="0" borderId="0" applyAlignment="1" pivotButton="0" quotePrefix="0" xfId="0">
      <alignment horizontal="general" vertical="bottom"/>
    </xf>
    <xf numFmtId="165" fontId="31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8" fillId="27" borderId="0" applyAlignment="1" pivotButton="0" quotePrefix="0" xfId="0">
      <alignment horizontal="center" vertical="center"/>
    </xf>
    <xf numFmtId="0" fontId="8" fillId="19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8" fillId="28" borderId="0" applyAlignment="1" pivotButton="0" quotePrefix="0" xfId="0">
      <alignment horizontal="center" vertical="center"/>
    </xf>
    <xf numFmtId="165" fontId="34" fillId="0" borderId="0" applyAlignment="1" pivotButton="0" quotePrefix="0" xfId="0">
      <alignment horizontal="center" vertical="center"/>
    </xf>
    <xf numFmtId="165" fontId="35" fillId="0" borderId="0" applyAlignment="1" pivotButton="0" quotePrefix="0" xfId="0">
      <alignment horizontal="center" vertical="center"/>
    </xf>
    <xf numFmtId="165" fontId="36" fillId="0" borderId="0" applyAlignment="1" pivotButton="0" quotePrefix="0" xfId="0">
      <alignment horizontal="center" vertical="center"/>
    </xf>
    <xf numFmtId="165" fontId="37" fillId="0" borderId="0" applyAlignment="1" pivotButton="0" quotePrefix="0" xfId="0">
      <alignment horizontal="center" vertical="center"/>
    </xf>
    <xf numFmtId="0" fontId="5" fillId="20" borderId="0" applyAlignment="1" pivotButton="0" quotePrefix="0" xfId="0">
      <alignment horizontal="center" vertical="center"/>
    </xf>
    <xf numFmtId="165" fontId="5" fillId="2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center"/>
    </xf>
    <xf numFmtId="0" fontId="8" fillId="24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bottom"/>
    </xf>
    <xf numFmtId="0" fontId="8" fillId="16" borderId="1" applyAlignment="1" pivotButton="0" quotePrefix="0" xfId="0">
      <alignment horizontal="general" vertical="bottom"/>
    </xf>
    <xf numFmtId="0" fontId="8" fillId="9" borderId="1" applyAlignment="1" pivotButton="0" quotePrefix="0" xfId="0">
      <alignment horizontal="general" vertical="bottom"/>
    </xf>
    <xf numFmtId="165" fontId="8" fillId="9" borderId="1" applyAlignment="1" pivotButton="0" quotePrefix="0" xfId="0">
      <alignment horizontal="center" vertical="center"/>
    </xf>
    <xf numFmtId="166" fontId="8" fillId="9" borderId="1" applyAlignment="1" pivotButton="0" quotePrefix="0" xfId="0">
      <alignment horizontal="center" vertical="center"/>
    </xf>
    <xf numFmtId="165" fontId="17" fillId="0" borderId="1" applyAlignment="1" pivotButton="0" quotePrefix="0" xfId="0">
      <alignment horizontal="general" vertical="bottom"/>
    </xf>
    <xf numFmtId="166" fontId="17" fillId="0" borderId="1" applyAlignment="1" pivotButton="0" quotePrefix="0" xfId="0">
      <alignment horizontal="general" vertical="bottom"/>
    </xf>
    <xf numFmtId="165" fontId="17" fillId="17" borderId="1" applyAlignment="1" pivotButton="0" quotePrefix="0" xfId="0">
      <alignment horizontal="general" vertical="bottom"/>
    </xf>
    <xf numFmtId="0" fontId="5" fillId="17" borderId="0" applyAlignment="1" pivotButton="0" quotePrefix="0" xfId="0">
      <alignment horizontal="center" vertical="center"/>
    </xf>
    <xf numFmtId="0" fontId="17" fillId="11" borderId="1" applyAlignment="1" pivotButton="0" quotePrefix="0" xfId="0">
      <alignment horizontal="general" vertical="bottom"/>
    </xf>
    <xf numFmtId="166" fontId="17" fillId="11" borderId="1" applyAlignment="1" pivotButton="0" quotePrefix="0" xfId="0">
      <alignment horizontal="general" vertical="bottom"/>
    </xf>
    <xf numFmtId="165" fontId="17" fillId="11" borderId="1" applyAlignment="1" pivotButton="0" quotePrefix="0" xfId="0">
      <alignment horizontal="general" vertical="bottom"/>
    </xf>
    <xf numFmtId="165" fontId="17" fillId="29" borderId="1" applyAlignment="1" pivotButton="0" quotePrefix="0" xfId="0">
      <alignment horizontal="general" vertical="bottom"/>
    </xf>
    <xf numFmtId="165" fontId="32" fillId="18" borderId="1" applyAlignment="1" pivotButton="0" quotePrefix="0" xfId="0">
      <alignment horizontal="general" vertical="bottom"/>
    </xf>
    <xf numFmtId="165" fontId="5" fillId="18" borderId="0" applyAlignment="1" pivotButton="0" quotePrefix="0" xfId="0">
      <alignment horizontal="general" vertical="bottom"/>
    </xf>
    <xf numFmtId="0" fontId="17" fillId="13" borderId="1" applyAlignment="1" pivotButton="0" quotePrefix="0" xfId="0">
      <alignment horizontal="general" vertical="bottom"/>
    </xf>
    <xf numFmtId="166" fontId="17" fillId="13" borderId="1" applyAlignment="1" pivotButton="0" quotePrefix="0" xfId="0">
      <alignment horizontal="general" vertical="bottom"/>
    </xf>
    <xf numFmtId="165" fontId="17" fillId="13" borderId="1" applyAlignment="1" pivotButton="0" quotePrefix="0" xfId="0">
      <alignment horizontal="general" vertical="bottom"/>
    </xf>
    <xf numFmtId="165" fontId="38" fillId="0" borderId="1" applyAlignment="1" pivotButton="0" quotePrefix="0" xfId="0">
      <alignment horizontal="general" vertical="bottom"/>
    </xf>
    <xf numFmtId="165" fontId="38" fillId="0" borderId="0" applyAlignment="1" pivotButton="0" quotePrefix="0" xfId="0">
      <alignment horizontal="general" vertical="bottom"/>
    </xf>
    <xf numFmtId="165" fontId="39" fillId="0" borderId="0" applyAlignment="1" pivotButton="0" quotePrefix="0" xfId="0">
      <alignment horizontal="general" vertical="bottom"/>
    </xf>
    <xf numFmtId="0" fontId="40" fillId="0" borderId="1" applyAlignment="1" pivotButton="0" quotePrefix="0" xfId="0">
      <alignment horizontal="general" vertical="bottom"/>
    </xf>
    <xf numFmtId="165" fontId="40" fillId="0" borderId="1" applyAlignment="1" pivotButton="0" quotePrefix="0" xfId="0">
      <alignment horizontal="general" vertical="bottom"/>
    </xf>
    <xf numFmtId="0" fontId="8" fillId="30" borderId="1" applyAlignment="1" pivotButton="0" quotePrefix="0" xfId="0">
      <alignment horizontal="general" vertical="bottom"/>
    </xf>
    <xf numFmtId="165" fontId="8" fillId="30" borderId="1" applyAlignment="1" pivotButton="0" quotePrefix="0" xfId="0">
      <alignment horizontal="center" vertical="center"/>
    </xf>
    <xf numFmtId="166" fontId="8" fillId="30" borderId="1" applyAlignment="1" pivotButton="0" quotePrefix="0" xfId="0">
      <alignment horizontal="center" vertical="center"/>
    </xf>
    <xf numFmtId="0" fontId="17" fillId="31" borderId="1" applyAlignment="1" pivotButton="0" quotePrefix="0" xfId="0">
      <alignment horizontal="general" vertical="bottom"/>
    </xf>
    <xf numFmtId="166" fontId="17" fillId="31" borderId="1" applyAlignment="1" pivotButton="0" quotePrefix="0" xfId="0">
      <alignment horizontal="general" vertical="bottom"/>
    </xf>
    <xf numFmtId="165" fontId="17" fillId="31" borderId="1" applyAlignment="1" pivotButton="0" quotePrefix="0" xfId="0">
      <alignment horizontal="general" vertical="bottom"/>
    </xf>
    <xf numFmtId="165" fontId="17" fillId="32" borderId="1" applyAlignment="1" pivotButton="0" quotePrefix="0" xfId="0">
      <alignment horizontal="general" vertical="bottom"/>
    </xf>
    <xf numFmtId="0" fontId="41" fillId="0" borderId="0" applyAlignment="1" pivotButton="0" quotePrefix="0" xfId="0">
      <alignment horizontal="general" vertical="bottom"/>
    </xf>
    <xf numFmtId="165" fontId="41" fillId="0" borderId="1" applyAlignment="1" pivotButton="0" quotePrefix="0" xfId="0">
      <alignment horizontal="general" vertical="bottom"/>
    </xf>
    <xf numFmtId="0" fontId="8" fillId="10" borderId="0" applyAlignment="1" pivotButton="0" quotePrefix="0" xfId="0">
      <alignment horizontal="general" vertical="bottom"/>
    </xf>
    <xf numFmtId="166" fontId="8" fillId="10" borderId="1" applyAlignment="1" pivotButton="0" quotePrefix="0" xfId="0">
      <alignment horizontal="center" vertical="center"/>
    </xf>
    <xf numFmtId="0" fontId="17" fillId="14" borderId="0" applyAlignment="1" pivotButton="0" quotePrefix="0" xfId="0">
      <alignment horizontal="general" vertical="bottom"/>
    </xf>
    <xf numFmtId="165" fontId="17" fillId="14" borderId="1" applyAlignment="1" pivotButton="0" quotePrefix="0" xfId="0">
      <alignment horizontal="general" vertical="bottom"/>
    </xf>
    <xf numFmtId="0" fontId="17" fillId="15" borderId="0" applyAlignment="1" pivotButton="0" quotePrefix="0" xfId="0">
      <alignment horizontal="general" vertical="bottom"/>
    </xf>
    <xf numFmtId="165" fontId="39" fillId="15" borderId="1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165" fontId="22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165" fontId="8" fillId="16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center" vertical="center"/>
    </xf>
    <xf numFmtId="0" fontId="8" fillId="16" borderId="0" applyAlignment="1" pivotButton="0" quotePrefix="0" xfId="0">
      <alignment horizontal="center" vertical="center"/>
    </xf>
    <xf numFmtId="0" fontId="8" fillId="33" borderId="0" applyAlignment="1" pivotButton="0" quotePrefix="0" xfId="0">
      <alignment horizontal="general" vertical="bottom"/>
    </xf>
    <xf numFmtId="0" fontId="8" fillId="22" borderId="0" applyAlignment="1" pivotButton="0" quotePrefix="0" xfId="0">
      <alignment horizontal="general" vertical="bottom"/>
    </xf>
    <xf numFmtId="0" fontId="17" fillId="7" borderId="0" applyAlignment="1" pivotButton="0" quotePrefix="0" xfId="0">
      <alignment horizontal="general" vertical="bottom"/>
    </xf>
    <xf numFmtId="165" fontId="17" fillId="7" borderId="0" applyAlignment="1" pivotButton="0" quotePrefix="0" xfId="0">
      <alignment horizontal="general" vertical="bottom"/>
    </xf>
    <xf numFmtId="0" fontId="17" fillId="17" borderId="0" applyAlignment="1" pivotButton="0" quotePrefix="0" xfId="0">
      <alignment horizontal="general" vertical="bottom"/>
    </xf>
    <xf numFmtId="165" fontId="17" fillId="17" borderId="0" applyAlignment="1" pivotButton="0" quotePrefix="0" xfId="0">
      <alignment horizontal="general" vertical="bottom"/>
    </xf>
    <xf numFmtId="0" fontId="17" fillId="8" borderId="1" applyAlignment="1" pivotButton="0" quotePrefix="0" xfId="0">
      <alignment horizontal="general" vertical="bottom"/>
    </xf>
    <xf numFmtId="165" fontId="17" fillId="8" borderId="1" applyAlignment="1" pivotButton="0" quotePrefix="0" xfId="0">
      <alignment horizontal="general" vertical="bottom"/>
    </xf>
    <xf numFmtId="0" fontId="17" fillId="18" borderId="0" applyAlignment="1" pivotButton="0" quotePrefix="0" xfId="0">
      <alignment horizontal="general" vertical="bottom"/>
    </xf>
    <xf numFmtId="165" fontId="17" fillId="18" borderId="0" applyAlignment="1" pivotButton="0" quotePrefix="0" xfId="0">
      <alignment horizontal="general" vertical="bottom"/>
    </xf>
    <xf numFmtId="166" fontId="17" fillId="8" borderId="1" applyAlignment="1" pivotButton="0" quotePrefix="0" xfId="0">
      <alignment horizontal="general" vertical="bottom"/>
    </xf>
    <xf numFmtId="0" fontId="17" fillId="7" borderId="1" applyAlignment="1" pivotButton="0" quotePrefix="0" xfId="0">
      <alignment horizontal="general" vertical="bottom"/>
    </xf>
    <xf numFmtId="165" fontId="17" fillId="7" borderId="1" applyAlignment="1" pivotButton="0" quotePrefix="0" xfId="0">
      <alignment horizontal="general" vertical="bottom"/>
    </xf>
    <xf numFmtId="166" fontId="17" fillId="7" borderId="1" applyAlignment="1" pivotButton="0" quotePrefix="0" xfId="0">
      <alignment horizontal="general" vertical="bottom"/>
    </xf>
    <xf numFmtId="0" fontId="8" fillId="33" borderId="1" applyAlignment="1" pivotButton="0" quotePrefix="0" xfId="0">
      <alignment horizontal="general" vertical="bottom"/>
    </xf>
    <xf numFmtId="0" fontId="17" fillId="8" borderId="0" applyAlignment="1" pivotButton="0" quotePrefix="0" xfId="0">
      <alignment horizontal="general" vertical="bottom"/>
    </xf>
    <xf numFmtId="165" fontId="17" fillId="8" borderId="0" applyAlignment="1" pivotButton="0" quotePrefix="0" xfId="0">
      <alignment horizontal="general" vertical="bottom"/>
    </xf>
    <xf numFmtId="165" fontId="39" fillId="18" borderId="0" applyAlignment="1" pivotButton="0" quotePrefix="0" xfId="0">
      <alignment horizontal="general" vertical="bottom"/>
    </xf>
    <xf numFmtId="165" fontId="39" fillId="17" borderId="0" applyAlignment="1" pivotButton="0" quotePrefix="0" xfId="0">
      <alignment horizontal="general" vertical="bottom"/>
    </xf>
    <xf numFmtId="0" fontId="8" fillId="19" borderId="0" applyAlignment="1" pivotButton="0" quotePrefix="0" xfId="0">
      <alignment horizontal="general" vertical="bottom"/>
    </xf>
    <xf numFmtId="165" fontId="8" fillId="19" borderId="0" applyAlignment="1" pivotButton="0" quotePrefix="0" xfId="0">
      <alignment horizontal="general" vertical="bottom"/>
    </xf>
    <xf numFmtId="0" fontId="17" fillId="19" borderId="0" applyAlignment="1" pivotButton="0" quotePrefix="0" xfId="0">
      <alignment horizontal="general" vertical="bottom"/>
    </xf>
    <xf numFmtId="166" fontId="39" fillId="7" borderId="1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165" fontId="8" fillId="4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166" fontId="39" fillId="8" borderId="1" applyAlignment="1" pivotButton="0" quotePrefix="0" xfId="0">
      <alignment horizontal="general" vertical="bottom"/>
    </xf>
    <xf numFmtId="165" fontId="8" fillId="16" borderId="0" applyAlignment="1" pivotButton="0" quotePrefix="0" xfId="0">
      <alignment horizontal="center" vertical="center"/>
    </xf>
    <xf numFmtId="9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center"/>
    </xf>
    <xf numFmtId="0" fontId="8" fillId="19" borderId="1" applyAlignment="1" pivotButton="0" quotePrefix="0" xfId="0">
      <alignment horizontal="general" vertical="bottom"/>
    </xf>
    <xf numFmtId="165" fontId="8" fillId="19" borderId="1" applyAlignment="1" pivotButton="0" quotePrefix="0" xfId="0">
      <alignment horizontal="general" vertical="bottom"/>
    </xf>
    <xf numFmtId="166" fontId="17" fillId="19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165" fontId="8" fillId="4" borderId="1" applyAlignment="1" pivotButton="0" quotePrefix="0" xfId="0">
      <alignment horizontal="general" vertical="bottom"/>
    </xf>
    <xf numFmtId="166" fontId="17" fillId="4" borderId="1" applyAlignment="1" pivotButton="0" quotePrefix="0" xfId="0">
      <alignment horizontal="general" vertical="bottom"/>
    </xf>
    <xf numFmtId="9" fontId="5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general" vertical="bottom"/>
    </xf>
    <xf numFmtId="167" fontId="11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164" fontId="6" fillId="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3" fontId="9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3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3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3" fontId="0" fillId="11" borderId="1" applyAlignment="1" pivotButton="0" quotePrefix="0" xfId="0">
      <alignment horizontal="center" vertical="center"/>
    </xf>
    <xf numFmtId="3" fontId="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general" vertical="bottom"/>
    </xf>
    <xf numFmtId="0" fontId="0" fillId="13" borderId="1" applyAlignment="1" pivotButton="0" quotePrefix="0" xfId="0">
      <alignment horizontal="left" vertical="center"/>
    </xf>
    <xf numFmtId="3" fontId="0" fillId="13" borderId="1" applyAlignment="1" pivotButton="0" quotePrefix="0" xfId="0">
      <alignment horizontal="center" vertical="center"/>
    </xf>
    <xf numFmtId="3" fontId="5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2" applyAlignment="1" pivotButton="0" quotePrefix="0" xfId="0">
      <alignment horizontal="general" vertical="bottom"/>
    </xf>
    <xf numFmtId="0" fontId="0" fillId="0" borderId="6" pivotButton="0" quotePrefix="0" xfId="0"/>
    <xf numFmtId="3" fontId="11" fillId="11" borderId="1" applyAlignment="1" pivotButton="0" quotePrefix="0" xfId="0">
      <alignment horizontal="center" vertical="center"/>
    </xf>
    <xf numFmtId="0" fontId="0" fillId="15" borderId="2" applyAlignment="1" pivotButton="0" quotePrefix="0" xfId="0">
      <alignment horizontal="general" vertical="bottom"/>
    </xf>
    <xf numFmtId="0" fontId="7" fillId="16" borderId="0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9" fontId="0" fillId="17" borderId="1" applyAlignment="1" pivotButton="0" quotePrefix="0" xfId="0">
      <alignment horizontal="center" vertical="center"/>
    </xf>
    <xf numFmtId="3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10" fontId="0" fillId="18" borderId="1" applyAlignment="1" pivotButton="0" quotePrefix="0" xfId="0">
      <alignment horizontal="center" vertical="center"/>
    </xf>
    <xf numFmtId="3" fontId="0" fillId="18" borderId="1" applyAlignment="1" pivotButton="0" quotePrefix="0" xfId="0">
      <alignment horizontal="center" vertical="center"/>
    </xf>
    <xf numFmtId="3" fontId="6" fillId="18" borderId="1" applyAlignment="1" pivotButton="0" quotePrefix="0" xfId="0">
      <alignment horizontal="center" vertical="center"/>
    </xf>
    <xf numFmtId="0" fontId="7" fillId="19" borderId="0" applyAlignment="1" pivotButton="0" quotePrefix="0" xfId="0">
      <alignment horizontal="center" vertical="center"/>
    </xf>
    <xf numFmtId="10" fontId="0" fillId="17" borderId="1" applyAlignment="1" pivotButton="0" quotePrefix="0" xfId="0">
      <alignment horizontal="center" vertical="center"/>
    </xf>
    <xf numFmtId="3" fontId="6" fillId="17" borderId="1" applyAlignment="1" pivotButton="0" quotePrefix="0" xfId="0">
      <alignment horizontal="center" vertical="center"/>
    </xf>
    <xf numFmtId="3" fontId="6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9" fontId="1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bottom"/>
    </xf>
    <xf numFmtId="3" fontId="6" fillId="14" borderId="1" applyAlignment="1" pivotButton="0" quotePrefix="0" xfId="0">
      <alignment horizontal="center" vertical="center"/>
    </xf>
    <xf numFmtId="3" fontId="6" fillId="15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bottom"/>
    </xf>
    <xf numFmtId="3" fontId="12" fillId="20" borderId="0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3" fontId="6" fillId="7" borderId="1" applyAlignment="1" pivotButton="0" quotePrefix="0" xfId="0">
      <alignment horizontal="general" vertical="bottom"/>
    </xf>
    <xf numFmtId="3" fontId="6" fillId="8" borderId="1" applyAlignment="1" pivotButton="0" quotePrefix="0" xfId="0">
      <alignment horizontal="general" vertical="bottom"/>
    </xf>
    <xf numFmtId="3" fontId="9" fillId="20" borderId="0" applyAlignment="1" pivotButton="0" quotePrefix="0" xfId="0">
      <alignment horizontal="general" vertical="bottom"/>
    </xf>
    <xf numFmtId="0" fontId="7" fillId="2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general" vertical="bottom"/>
    </xf>
    <xf numFmtId="0" fontId="13" fillId="2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general" vertical="bottom"/>
    </xf>
    <xf numFmtId="3" fontId="6" fillId="7" borderId="1" applyAlignment="1" pivotButton="0" quotePrefix="0" xfId="0">
      <alignment horizontal="center" vertical="center"/>
    </xf>
    <xf numFmtId="3" fontId="6" fillId="8" borderId="1" applyAlignment="1" pivotButton="0" quotePrefix="0" xfId="0">
      <alignment horizontal="center" vertical="center"/>
    </xf>
    <xf numFmtId="3" fontId="15" fillId="20" borderId="0" applyAlignment="1" pivotButton="0" quotePrefix="0" xfId="0">
      <alignment horizontal="general" vertical="bottom"/>
    </xf>
    <xf numFmtId="3" fontId="0" fillId="11" borderId="1" applyAlignment="1" pivotButton="0" quotePrefix="0" xfId="0">
      <alignment horizontal="general" vertical="bottom"/>
    </xf>
    <xf numFmtId="3" fontId="0" fillId="13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bottom"/>
    </xf>
    <xf numFmtId="0" fontId="8" fillId="21" borderId="1" applyAlignment="1" pivotButton="0" quotePrefix="0" xfId="0">
      <alignment horizontal="center" vertical="center"/>
    </xf>
    <xf numFmtId="0" fontId="8" fillId="21" borderId="0" applyAlignment="1" pivotButton="0" quotePrefix="0" xfId="0">
      <alignment horizontal="center" vertical="center"/>
    </xf>
    <xf numFmtId="0" fontId="8" fillId="21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8" fillId="22" borderId="0" applyAlignment="1" pivotButton="0" quotePrefix="0" xfId="0">
      <alignment horizontal="center" vertical="bottom"/>
    </xf>
    <xf numFmtId="9" fontId="6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9" fontId="17" fillId="23" borderId="0" applyAlignment="1" pivotButton="0" quotePrefix="0" xfId="0">
      <alignment horizontal="center" vertical="bottom"/>
    </xf>
    <xf numFmtId="9" fontId="17" fillId="0" borderId="0" applyAlignment="1" pivotButton="0" quotePrefix="0" xfId="0">
      <alignment horizontal="center" vertical="bottom"/>
    </xf>
    <xf numFmtId="10" fontId="17" fillId="23" borderId="0" applyAlignment="1" pivotButton="0" quotePrefix="0" xfId="0">
      <alignment horizontal="center" vertical="bottom"/>
    </xf>
    <xf numFmtId="10" fontId="17" fillId="23" borderId="0" applyAlignment="1" pivotButton="0" quotePrefix="0" xfId="0">
      <alignment horizontal="general" vertical="bottom"/>
    </xf>
    <xf numFmtId="9" fontId="17" fillId="23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8" fillId="24" borderId="3" applyAlignment="1" pivotButton="0" quotePrefix="0" xfId="0">
      <alignment horizontal="center" vertical="center"/>
    </xf>
    <xf numFmtId="165" fontId="8" fillId="24" borderId="3" applyAlignment="1" pivotButton="0" quotePrefix="0" xfId="0">
      <alignment horizontal="center" vertical="center"/>
    </xf>
    <xf numFmtId="166" fontId="20" fillId="25" borderId="4" applyAlignment="1" pivotButton="0" quotePrefix="0" xfId="0">
      <alignment horizontal="center" vertical="center"/>
    </xf>
    <xf numFmtId="165" fontId="20" fillId="25" borderId="4" applyAlignment="1" pivotButton="0" quotePrefix="0" xfId="0">
      <alignment horizontal="center" vertical="center"/>
    </xf>
    <xf numFmtId="165" fontId="20" fillId="25" borderId="4" applyAlignment="1" pivotButton="0" quotePrefix="0" xfId="0">
      <alignment horizontal="general" vertical="bottom"/>
    </xf>
    <xf numFmtId="0" fontId="20" fillId="25" borderId="4" applyAlignment="1" pivotButton="0" quotePrefix="0" xfId="0">
      <alignment horizontal="general" vertical="bottom"/>
    </xf>
    <xf numFmtId="165" fontId="20" fillId="25" borderId="4" applyAlignment="1" pivotButton="0" quotePrefix="0" xfId="0">
      <alignment horizontal="right" vertical="center"/>
    </xf>
    <xf numFmtId="0" fontId="20" fillId="25" borderId="4" applyAlignment="1" pivotButton="0" quotePrefix="0" xfId="0">
      <alignment horizontal="center" vertical="center"/>
    </xf>
    <xf numFmtId="166" fontId="20" fillId="26" borderId="4" applyAlignment="1" pivotButton="0" quotePrefix="0" xfId="0">
      <alignment horizontal="center" vertical="center"/>
    </xf>
    <xf numFmtId="165" fontId="20" fillId="26" borderId="4" applyAlignment="1" pivotButton="0" quotePrefix="0" xfId="0">
      <alignment horizontal="center" vertical="center"/>
    </xf>
    <xf numFmtId="165" fontId="20" fillId="26" borderId="4" applyAlignment="1" pivotButton="0" quotePrefix="0" xfId="0">
      <alignment horizontal="general" vertical="bottom"/>
    </xf>
    <xf numFmtId="0" fontId="20" fillId="26" borderId="4" applyAlignment="1" pivotButton="0" quotePrefix="0" xfId="0">
      <alignment horizontal="general" vertical="bottom"/>
    </xf>
    <xf numFmtId="165" fontId="20" fillId="26" borderId="4" applyAlignment="1" pivotButton="0" quotePrefix="0" xfId="0">
      <alignment horizontal="right" vertical="center"/>
    </xf>
    <xf numFmtId="0" fontId="20" fillId="26" borderId="4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165" fontId="22" fillId="0" borderId="0" applyAlignment="1" pivotButton="0" quotePrefix="0" xfId="0">
      <alignment horizontal="right" vertical="center"/>
    </xf>
    <xf numFmtId="165" fontId="23" fillId="0" borderId="0" applyAlignment="1" pivotButton="0" quotePrefix="0" xfId="0">
      <alignment horizontal="right" vertical="center"/>
    </xf>
    <xf numFmtId="165" fontId="17" fillId="0" borderId="0" applyAlignment="1" pivotButton="0" quotePrefix="0" xfId="0">
      <alignment horizontal="general" vertical="bottom"/>
    </xf>
    <xf numFmtId="165" fontId="24" fillId="0" borderId="0" applyAlignment="1" pivotButton="0" quotePrefix="0" xfId="0">
      <alignment horizontal="general" vertical="bottom"/>
    </xf>
    <xf numFmtId="165" fontId="25" fillId="0" borderId="0" applyAlignment="1" pivotButton="0" quotePrefix="0" xfId="0">
      <alignment horizontal="general" vertical="bottom"/>
    </xf>
    <xf numFmtId="165" fontId="26" fillId="0" borderId="0" applyAlignment="1" pivotButton="0" quotePrefix="0" xfId="0">
      <alignment horizontal="general" vertical="bottom"/>
    </xf>
    <xf numFmtId="165" fontId="27" fillId="0" borderId="0" applyAlignment="1" pivotButton="0" quotePrefix="0" xfId="0">
      <alignment horizontal="general" vertical="bottom"/>
    </xf>
    <xf numFmtId="165" fontId="22" fillId="0" borderId="0" applyAlignment="1" pivotButton="0" quotePrefix="0" xfId="0">
      <alignment horizontal="general" vertical="bottom"/>
    </xf>
    <xf numFmtId="165" fontId="28" fillId="0" borderId="0" applyAlignment="1" pivotButton="0" quotePrefix="0" xfId="0">
      <alignment horizontal="general" vertical="bottom"/>
    </xf>
    <xf numFmtId="165" fontId="29" fillId="0" borderId="0" applyAlignment="1" pivotButton="0" quotePrefix="0" xfId="0">
      <alignment horizontal="general" vertical="bottom"/>
    </xf>
    <xf numFmtId="165" fontId="30" fillId="0" borderId="0" applyAlignment="1" pivotButton="0" quotePrefix="0" xfId="0">
      <alignment horizontal="general" vertical="bottom"/>
    </xf>
    <xf numFmtId="165" fontId="23" fillId="0" borderId="0" applyAlignment="1" pivotButton="0" quotePrefix="0" xfId="0">
      <alignment horizontal="general" vertical="bottom"/>
    </xf>
    <xf numFmtId="165" fontId="31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8" fillId="27" borderId="0" applyAlignment="1" pivotButton="0" quotePrefix="0" xfId="0">
      <alignment horizontal="center" vertical="center"/>
    </xf>
    <xf numFmtId="0" fontId="8" fillId="19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8" fillId="28" borderId="0" applyAlignment="1" pivotButton="0" quotePrefix="0" xfId="0">
      <alignment horizontal="center" vertical="center"/>
    </xf>
    <xf numFmtId="165" fontId="34" fillId="0" borderId="0" applyAlignment="1" pivotButton="0" quotePrefix="0" xfId="0">
      <alignment horizontal="center" vertical="center"/>
    </xf>
    <xf numFmtId="165" fontId="35" fillId="0" borderId="0" applyAlignment="1" pivotButton="0" quotePrefix="0" xfId="0">
      <alignment horizontal="center" vertical="center"/>
    </xf>
    <xf numFmtId="165" fontId="36" fillId="0" borderId="0" applyAlignment="1" pivotButton="0" quotePrefix="0" xfId="0">
      <alignment horizontal="center" vertical="center"/>
    </xf>
    <xf numFmtId="165" fontId="37" fillId="0" borderId="0" applyAlignment="1" pivotButton="0" quotePrefix="0" xfId="0">
      <alignment horizontal="center" vertical="center"/>
    </xf>
    <xf numFmtId="0" fontId="5" fillId="20" borderId="0" applyAlignment="1" pivotButton="0" quotePrefix="0" xfId="0">
      <alignment horizontal="center" vertical="center"/>
    </xf>
    <xf numFmtId="165" fontId="5" fillId="2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center"/>
    </xf>
    <xf numFmtId="0" fontId="8" fillId="24" borderId="1" applyAlignment="1" pivotButton="0" quotePrefix="0" xfId="0">
      <alignment horizontal="general" vertical="bottom"/>
    </xf>
    <xf numFmtId="0" fontId="0" fillId="0" borderId="8" pivotButton="0" quotePrefix="0" xfId="0"/>
    <xf numFmtId="0" fontId="17" fillId="0" borderId="1" applyAlignment="1" pivotButton="0" quotePrefix="0" xfId="0">
      <alignment horizontal="general" vertical="bottom"/>
    </xf>
    <xf numFmtId="0" fontId="8" fillId="16" borderId="1" applyAlignment="1" pivotButton="0" quotePrefix="0" xfId="0">
      <alignment horizontal="general" vertical="bottom"/>
    </xf>
    <xf numFmtId="0" fontId="8" fillId="9" borderId="1" applyAlignment="1" pivotButton="0" quotePrefix="0" xfId="0">
      <alignment horizontal="general" vertical="bottom"/>
    </xf>
    <xf numFmtId="165" fontId="8" fillId="9" borderId="1" applyAlignment="1" pivotButton="0" quotePrefix="0" xfId="0">
      <alignment horizontal="center" vertical="center"/>
    </xf>
    <xf numFmtId="166" fontId="8" fillId="9" borderId="1" applyAlignment="1" pivotButton="0" quotePrefix="0" xfId="0">
      <alignment horizontal="center" vertical="center"/>
    </xf>
    <xf numFmtId="165" fontId="17" fillId="0" borderId="1" applyAlignment="1" pivotButton="0" quotePrefix="0" xfId="0">
      <alignment horizontal="general" vertical="bottom"/>
    </xf>
    <xf numFmtId="166" fontId="17" fillId="0" borderId="1" applyAlignment="1" pivotButton="0" quotePrefix="0" xfId="0">
      <alignment horizontal="general" vertical="bottom"/>
    </xf>
    <xf numFmtId="165" fontId="17" fillId="17" borderId="1" applyAlignment="1" pivotButton="0" quotePrefix="0" xfId="0">
      <alignment horizontal="general" vertical="bottom"/>
    </xf>
    <xf numFmtId="0" fontId="5" fillId="17" borderId="0" applyAlignment="1" pivotButton="0" quotePrefix="0" xfId="0">
      <alignment horizontal="center" vertical="center"/>
    </xf>
    <xf numFmtId="0" fontId="17" fillId="11" borderId="1" applyAlignment="1" pivotButton="0" quotePrefix="0" xfId="0">
      <alignment horizontal="general" vertical="bottom"/>
    </xf>
    <xf numFmtId="166" fontId="17" fillId="11" borderId="1" applyAlignment="1" pivotButton="0" quotePrefix="0" xfId="0">
      <alignment horizontal="general" vertical="bottom"/>
    </xf>
    <xf numFmtId="165" fontId="17" fillId="11" borderId="1" applyAlignment="1" pivotButton="0" quotePrefix="0" xfId="0">
      <alignment horizontal="general" vertical="bottom"/>
    </xf>
    <xf numFmtId="165" fontId="17" fillId="29" borderId="1" applyAlignment="1" pivotButton="0" quotePrefix="0" xfId="0">
      <alignment horizontal="general" vertical="bottom"/>
    </xf>
    <xf numFmtId="165" fontId="32" fillId="18" borderId="1" applyAlignment="1" pivotButton="0" quotePrefix="0" xfId="0">
      <alignment horizontal="general" vertical="bottom"/>
    </xf>
    <xf numFmtId="165" fontId="5" fillId="18" borderId="0" applyAlignment="1" pivotButton="0" quotePrefix="0" xfId="0">
      <alignment horizontal="general" vertical="bottom"/>
    </xf>
    <xf numFmtId="0" fontId="17" fillId="13" borderId="1" applyAlignment="1" pivotButton="0" quotePrefix="0" xfId="0">
      <alignment horizontal="general" vertical="bottom"/>
    </xf>
    <xf numFmtId="166" fontId="17" fillId="13" borderId="1" applyAlignment="1" pivotButton="0" quotePrefix="0" xfId="0">
      <alignment horizontal="general" vertical="bottom"/>
    </xf>
    <xf numFmtId="165" fontId="17" fillId="13" borderId="1" applyAlignment="1" pivotButton="0" quotePrefix="0" xfId="0">
      <alignment horizontal="general" vertical="bottom"/>
    </xf>
    <xf numFmtId="165" fontId="38" fillId="0" borderId="1" applyAlignment="1" pivotButton="0" quotePrefix="0" xfId="0">
      <alignment horizontal="general" vertical="bottom"/>
    </xf>
    <xf numFmtId="165" fontId="38" fillId="0" borderId="0" applyAlignment="1" pivotButton="0" quotePrefix="0" xfId="0">
      <alignment horizontal="general" vertical="bottom"/>
    </xf>
    <xf numFmtId="165" fontId="39" fillId="0" borderId="0" applyAlignment="1" pivotButton="0" quotePrefix="0" xfId="0">
      <alignment horizontal="general" vertical="bottom"/>
    </xf>
    <xf numFmtId="0" fontId="40" fillId="0" borderId="1" applyAlignment="1" pivotButton="0" quotePrefix="0" xfId="0">
      <alignment horizontal="general" vertical="bottom"/>
    </xf>
    <xf numFmtId="165" fontId="40" fillId="0" borderId="1" applyAlignment="1" pivotButton="0" quotePrefix="0" xfId="0">
      <alignment horizontal="general" vertical="bottom"/>
    </xf>
    <xf numFmtId="0" fontId="8" fillId="30" borderId="1" applyAlignment="1" pivotButton="0" quotePrefix="0" xfId="0">
      <alignment horizontal="general" vertical="bottom"/>
    </xf>
    <xf numFmtId="165" fontId="8" fillId="30" borderId="1" applyAlignment="1" pivotButton="0" quotePrefix="0" xfId="0">
      <alignment horizontal="center" vertical="center"/>
    </xf>
    <xf numFmtId="166" fontId="8" fillId="30" borderId="1" applyAlignment="1" pivotButton="0" quotePrefix="0" xfId="0">
      <alignment horizontal="center" vertical="center"/>
    </xf>
    <xf numFmtId="0" fontId="17" fillId="31" borderId="1" applyAlignment="1" pivotButton="0" quotePrefix="0" xfId="0">
      <alignment horizontal="general" vertical="bottom"/>
    </xf>
    <xf numFmtId="166" fontId="17" fillId="31" borderId="1" applyAlignment="1" pivotButton="0" quotePrefix="0" xfId="0">
      <alignment horizontal="general" vertical="bottom"/>
    </xf>
    <xf numFmtId="165" fontId="17" fillId="31" borderId="1" applyAlignment="1" pivotButton="0" quotePrefix="0" xfId="0">
      <alignment horizontal="general" vertical="bottom"/>
    </xf>
    <xf numFmtId="165" fontId="17" fillId="32" borderId="1" applyAlignment="1" pivotButton="0" quotePrefix="0" xfId="0">
      <alignment horizontal="general" vertical="bottom"/>
    </xf>
    <xf numFmtId="0" fontId="41" fillId="0" borderId="0" applyAlignment="1" pivotButton="0" quotePrefix="0" xfId="0">
      <alignment horizontal="general" vertical="bottom"/>
    </xf>
    <xf numFmtId="165" fontId="41" fillId="0" borderId="1" applyAlignment="1" pivotButton="0" quotePrefix="0" xfId="0">
      <alignment horizontal="general" vertical="bottom"/>
    </xf>
    <xf numFmtId="0" fontId="8" fillId="10" borderId="0" applyAlignment="1" pivotButton="0" quotePrefix="0" xfId="0">
      <alignment horizontal="general" vertical="bottom"/>
    </xf>
    <xf numFmtId="166" fontId="8" fillId="10" borderId="1" applyAlignment="1" pivotButton="0" quotePrefix="0" xfId="0">
      <alignment horizontal="center" vertical="center"/>
    </xf>
    <xf numFmtId="0" fontId="17" fillId="14" borderId="0" applyAlignment="1" pivotButton="0" quotePrefix="0" xfId="0">
      <alignment horizontal="general" vertical="bottom"/>
    </xf>
    <xf numFmtId="165" fontId="17" fillId="14" borderId="1" applyAlignment="1" pivotButton="0" quotePrefix="0" xfId="0">
      <alignment horizontal="general" vertical="bottom"/>
    </xf>
    <xf numFmtId="0" fontId="17" fillId="15" borderId="0" applyAlignment="1" pivotButton="0" quotePrefix="0" xfId="0">
      <alignment horizontal="general" vertical="bottom"/>
    </xf>
    <xf numFmtId="165" fontId="39" fillId="15" borderId="1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165" fontId="22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165" fontId="8" fillId="16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center" vertical="center"/>
    </xf>
    <xf numFmtId="0" fontId="8" fillId="16" borderId="0" applyAlignment="1" pivotButton="0" quotePrefix="0" xfId="0">
      <alignment horizontal="center" vertical="center"/>
    </xf>
    <xf numFmtId="0" fontId="8" fillId="33" borderId="0" applyAlignment="1" pivotButton="0" quotePrefix="0" xfId="0">
      <alignment horizontal="general" vertical="bottom"/>
    </xf>
    <xf numFmtId="0" fontId="8" fillId="22" borderId="0" applyAlignment="1" pivotButton="0" quotePrefix="0" xfId="0">
      <alignment horizontal="general" vertical="bottom"/>
    </xf>
    <xf numFmtId="0" fontId="17" fillId="7" borderId="0" applyAlignment="1" pivotButton="0" quotePrefix="0" xfId="0">
      <alignment horizontal="general" vertical="bottom"/>
    </xf>
    <xf numFmtId="165" fontId="17" fillId="7" borderId="0" applyAlignment="1" pivotButton="0" quotePrefix="0" xfId="0">
      <alignment horizontal="general" vertical="bottom"/>
    </xf>
    <xf numFmtId="0" fontId="17" fillId="17" borderId="0" applyAlignment="1" pivotButton="0" quotePrefix="0" xfId="0">
      <alignment horizontal="general" vertical="bottom"/>
    </xf>
    <xf numFmtId="165" fontId="17" fillId="17" borderId="0" applyAlignment="1" pivotButton="0" quotePrefix="0" xfId="0">
      <alignment horizontal="general" vertical="bottom"/>
    </xf>
    <xf numFmtId="0" fontId="17" fillId="8" borderId="1" applyAlignment="1" pivotButton="0" quotePrefix="0" xfId="0">
      <alignment horizontal="general" vertical="bottom"/>
    </xf>
    <xf numFmtId="165" fontId="17" fillId="8" borderId="1" applyAlignment="1" pivotButton="0" quotePrefix="0" xfId="0">
      <alignment horizontal="general" vertical="bottom"/>
    </xf>
    <xf numFmtId="0" fontId="17" fillId="18" borderId="0" applyAlignment="1" pivotButton="0" quotePrefix="0" xfId="0">
      <alignment horizontal="general" vertical="bottom"/>
    </xf>
    <xf numFmtId="165" fontId="17" fillId="18" borderId="0" applyAlignment="1" pivotButton="0" quotePrefix="0" xfId="0">
      <alignment horizontal="general" vertical="bottom"/>
    </xf>
    <xf numFmtId="166" fontId="17" fillId="8" borderId="1" applyAlignment="1" pivotButton="0" quotePrefix="0" xfId="0">
      <alignment horizontal="general" vertical="bottom"/>
    </xf>
    <xf numFmtId="0" fontId="17" fillId="7" borderId="1" applyAlignment="1" pivotButton="0" quotePrefix="0" xfId="0">
      <alignment horizontal="general" vertical="bottom"/>
    </xf>
    <xf numFmtId="165" fontId="17" fillId="7" borderId="1" applyAlignment="1" pivotButton="0" quotePrefix="0" xfId="0">
      <alignment horizontal="general" vertical="bottom"/>
    </xf>
    <xf numFmtId="166" fontId="17" fillId="7" borderId="1" applyAlignment="1" pivotButton="0" quotePrefix="0" xfId="0">
      <alignment horizontal="general" vertical="bottom"/>
    </xf>
    <xf numFmtId="0" fontId="8" fillId="33" borderId="1" applyAlignment="1" pivotButton="0" quotePrefix="0" xfId="0">
      <alignment horizontal="general" vertical="bottom"/>
    </xf>
    <xf numFmtId="0" fontId="17" fillId="8" borderId="0" applyAlignment="1" pivotButton="0" quotePrefix="0" xfId="0">
      <alignment horizontal="general" vertical="bottom"/>
    </xf>
    <xf numFmtId="165" fontId="17" fillId="8" borderId="0" applyAlignment="1" pivotButton="0" quotePrefix="0" xfId="0">
      <alignment horizontal="general" vertical="bottom"/>
    </xf>
    <xf numFmtId="165" fontId="39" fillId="18" borderId="0" applyAlignment="1" pivotButton="0" quotePrefix="0" xfId="0">
      <alignment horizontal="general" vertical="bottom"/>
    </xf>
    <xf numFmtId="165" fontId="39" fillId="17" borderId="0" applyAlignment="1" pivotButton="0" quotePrefix="0" xfId="0">
      <alignment horizontal="general" vertical="bottom"/>
    </xf>
    <xf numFmtId="0" fontId="8" fillId="19" borderId="0" applyAlignment="1" pivotButton="0" quotePrefix="0" xfId="0">
      <alignment horizontal="general" vertical="bottom"/>
    </xf>
    <xf numFmtId="165" fontId="8" fillId="19" borderId="0" applyAlignment="1" pivotButton="0" quotePrefix="0" xfId="0">
      <alignment horizontal="general" vertical="bottom"/>
    </xf>
    <xf numFmtId="0" fontId="17" fillId="19" borderId="0" applyAlignment="1" pivotButton="0" quotePrefix="0" xfId="0">
      <alignment horizontal="general" vertical="bottom"/>
    </xf>
    <xf numFmtId="166" fontId="39" fillId="7" borderId="1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165" fontId="8" fillId="4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166" fontId="39" fillId="8" borderId="1" applyAlignment="1" pivotButton="0" quotePrefix="0" xfId="0">
      <alignment horizontal="general" vertical="bottom"/>
    </xf>
    <xf numFmtId="165" fontId="8" fillId="16" borderId="0" applyAlignment="1" pivotButton="0" quotePrefix="0" xfId="0">
      <alignment horizontal="center" vertical="center"/>
    </xf>
    <xf numFmtId="9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center"/>
    </xf>
    <xf numFmtId="0" fontId="8" fillId="19" borderId="1" applyAlignment="1" pivotButton="0" quotePrefix="0" xfId="0">
      <alignment horizontal="general" vertical="bottom"/>
    </xf>
    <xf numFmtId="165" fontId="8" fillId="19" borderId="1" applyAlignment="1" pivotButton="0" quotePrefix="0" xfId="0">
      <alignment horizontal="general" vertical="bottom"/>
    </xf>
    <xf numFmtId="166" fontId="17" fillId="19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165" fontId="8" fillId="4" borderId="1" applyAlignment="1" pivotButton="0" quotePrefix="0" xfId="0">
      <alignment horizontal="general" vertical="bottom"/>
    </xf>
    <xf numFmtId="166" fontId="17" fillId="4" borderId="1" applyAlignment="1" pivotButton="0" quotePrefix="0" xfId="0">
      <alignment horizontal="general" vertical="bottom"/>
    </xf>
    <xf numFmtId="9" fontId="5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general" vertical="bottom"/>
    </xf>
    <xf numFmtId="167" fontId="11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42" fillId="0" borderId="0" pivotButton="0" quotePrefix="0" xfId="0"/>
    <xf numFmtId="0" fontId="43" fillId="0" borderId="0" pivotButton="0" quotePrefix="0" xfId="0"/>
    <xf numFmtId="0" fontId="44" fillId="34" borderId="9" pivotButton="0" quotePrefix="0" xfId="0"/>
    <xf numFmtId="0" fontId="44" fillId="34" borderId="9" applyAlignment="1" pivotButton="0" quotePrefix="0" xfId="0">
      <alignment horizontal="center"/>
    </xf>
    <xf numFmtId="0" fontId="46" fillId="35" borderId="9" pivotButton="0" quotePrefix="0" xfId="0"/>
    <xf numFmtId="0" fontId="0" fillId="0" borderId="12" pivotButton="0" quotePrefix="0" xfId="0"/>
    <xf numFmtId="0" fontId="0" fillId="0" borderId="13" pivotButton="0" quotePrefix="0" xfId="0"/>
    <xf numFmtId="0" fontId="47" fillId="36" borderId="9" pivotButton="0" quotePrefix="0" xfId="0"/>
    <xf numFmtId="0" fontId="0" fillId="36" borderId="9" pivotButton="0" quotePrefix="0" xfId="0"/>
    <xf numFmtId="0" fontId="48" fillId="0" borderId="9" pivotButton="0" quotePrefix="0" xfId="0"/>
    <xf numFmtId="3" fontId="48" fillId="0" borderId="9" applyAlignment="1" pivotButton="0" quotePrefix="0" xfId="0">
      <alignment horizontal="right"/>
    </xf>
    <xf numFmtId="3" fontId="0" fillId="0" borderId="9" pivotButton="0" quotePrefix="0" xfId="0"/>
    <xf numFmtId="0" fontId="47" fillId="37" borderId="9" pivotButton="0" quotePrefix="0" xfId="0"/>
    <xf numFmtId="3" fontId="49" fillId="37" borderId="9" pivotButton="0" quotePrefix="0" xfId="0"/>
    <xf numFmtId="0" fontId="50" fillId="38" borderId="9" pivotButton="0" quotePrefix="0" xfId="0"/>
    <xf numFmtId="3" fontId="49" fillId="38" borderId="9" pivotButton="0" quotePrefix="0" xfId="0"/>
    <xf numFmtId="0" fontId="46" fillId="39" borderId="9" pivotButton="0" quotePrefix="0" xfId="0"/>
    <xf numFmtId="3" fontId="44" fillId="39" borderId="9" pivotButton="0" quotePrefix="0" xfId="0"/>
    <xf numFmtId="168" fontId="17" fillId="7" borderId="0" applyAlignment="1" pivotButton="0" quotePrefix="0" xfId="0">
      <alignment horizontal="center"/>
    </xf>
    <xf numFmtId="168" fontId="17" fillId="17" borderId="0" applyAlignment="1" pivotButton="0" quotePrefix="0" xfId="0">
      <alignment horizontal="center"/>
    </xf>
    <xf numFmtId="168" fontId="17" fillId="8" borderId="1" applyAlignment="1" pivotButton="0" quotePrefix="0" xfId="0">
      <alignment horizontal="center"/>
    </xf>
    <xf numFmtId="168" fontId="17" fillId="18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  <xf numFmtId="168" fontId="17" fillId="7" borderId="1" applyAlignment="1" pivotButton="0" quotePrefix="0" xfId="0">
      <alignment horizontal="center"/>
    </xf>
    <xf numFmtId="168" fontId="0" fillId="0" borderId="8" applyAlignment="1" pivotButton="0" quotePrefix="0" xfId="0">
      <alignment horizontal="center"/>
    </xf>
    <xf numFmtId="168" fontId="17" fillId="8" borderId="0" applyAlignment="1" pivotButton="0" quotePrefix="0" xfId="0">
      <alignment horizontal="center"/>
    </xf>
    <xf numFmtId="168" fontId="17" fillId="0" borderId="0" applyAlignment="1" pivotButton="0" quotePrefix="0" xfId="0">
      <alignment horizontal="center"/>
    </xf>
    <xf numFmtId="168" fontId="17" fillId="19" borderId="0" applyAlignment="1" pivotButton="0" quotePrefix="0" xfId="0">
      <alignment horizontal="center"/>
    </xf>
    <xf numFmtId="168" fontId="39" fillId="7" borderId="1" applyAlignment="1" pivotButton="0" quotePrefix="0" xfId="0">
      <alignment horizontal="center"/>
    </xf>
    <xf numFmtId="168" fontId="17" fillId="4" borderId="0" applyAlignment="1" pivotButton="0" quotePrefix="0" xfId="0">
      <alignment horizontal="center"/>
    </xf>
    <xf numFmtId="168" fontId="39" fillId="8" borderId="1" applyAlignment="1" pivotButton="0" quotePrefix="0" xfId="0">
      <alignment horizontal="center"/>
    </xf>
    <xf numFmtId="168" fontId="8" fillId="16" borderId="0" applyAlignment="1" pivotButton="0" quotePrefix="0" xfId="0">
      <alignment horizontal="center"/>
    </xf>
    <xf numFmtId="0" fontId="42" fillId="0" borderId="14" pivotButton="0" quotePrefix="0" xfId="0"/>
    <xf numFmtId="0" fontId="51" fillId="0" borderId="14" pivotButton="0" quotePrefix="0" xfId="0"/>
    <xf numFmtId="0" fontId="49" fillId="0" borderId="14" pivotButton="0" quotePrefix="0" xfId="0"/>
    <xf numFmtId="164" fontId="48" fillId="40" borderId="14" pivotButton="0" quotePrefix="0" xfId="0"/>
    <xf numFmtId="168" fontId="51" fillId="0" borderId="14" pivotButton="0" quotePrefix="0" xfId="0"/>
    <xf numFmtId="0" fontId="52" fillId="35" borderId="14" pivotButton="0" quotePrefix="0" xfId="0"/>
    <xf numFmtId="0" fontId="53" fillId="41" borderId="9" pivotButton="0" quotePrefix="0" xfId="0"/>
    <xf numFmtId="0" fontId="51" fillId="0" borderId="9" pivotButton="0" quotePrefix="0" xfId="0"/>
    <xf numFmtId="3" fontId="48" fillId="40" borderId="9" pivotButton="0" quotePrefix="0" xfId="0"/>
    <xf numFmtId="3" fontId="51" fillId="0" borderId="9" pivotButton="0" quotePrefix="0" xfId="0"/>
    <xf numFmtId="0" fontId="48" fillId="40" borderId="9" pivotButton="0" quotePrefix="0" xfId="0"/>
    <xf numFmtId="0" fontId="49" fillId="0" borderId="9" pivotButton="0" quotePrefix="0" xfId="0"/>
    <xf numFmtId="3" fontId="49" fillId="0" borderId="9" pivotButton="0" quotePrefix="0" xfId="0"/>
    <xf numFmtId="3" fontId="51" fillId="0" borderId="14" pivotButton="0" quotePrefix="0" xfId="0"/>
    <xf numFmtId="9" fontId="51" fillId="0" borderId="14" pivotButton="0" quotePrefix="0" xfId="0"/>
    <xf numFmtId="10" fontId="51" fillId="0" borderId="14" pivotButton="0" quotePrefix="0" xfId="0"/>
    <xf numFmtId="3" fontId="53" fillId="41" borderId="9" pivotButton="0" quotePrefix="0" xfId="0"/>
    <xf numFmtId="10" fontId="53" fillId="41" borderId="9" pivotButton="0" quotePrefix="0" xfId="0"/>
    <xf numFmtId="9" fontId="51" fillId="0" borderId="9" pivotButton="0" quotePrefix="0" xfId="0"/>
    <xf numFmtId="10" fontId="51" fillId="0" borderId="9" pivotButton="0" quotePrefix="0" xfId="0"/>
    <xf numFmtId="9" fontId="49" fillId="0" borderId="9" pivotButton="0" quotePrefix="0" xfId="0"/>
    <xf numFmtId="168" fontId="48" fillId="40" borderId="9" pivotButton="0" quotePrefix="0" xfId="0"/>
    <xf numFmtId="0" fontId="46" fillId="35" borderId="14" pivotButton="0" quotePrefix="0" xfId="0"/>
    <xf numFmtId="0" fontId="51" fillId="41" borderId="9" pivotButton="0" quotePrefix="0" xfId="0"/>
    <xf numFmtId="0" fontId="53" fillId="41" borderId="9" applyAlignment="1" pivotButton="0" quotePrefix="0" xfId="0">
      <alignment horizontal="center"/>
    </xf>
    <xf numFmtId="0" fontId="49" fillId="42" borderId="9" pivotButton="0" quotePrefix="0" xfId="0"/>
    <xf numFmtId="0" fontId="51" fillId="42" borderId="9" pivotButton="0" quotePrefix="0" xfId="0"/>
    <xf numFmtId="9" fontId="51" fillId="0" borderId="9" applyAlignment="1" pivotButton="0" quotePrefix="0" xfId="0">
      <alignment horizontal="center"/>
    </xf>
    <xf numFmtId="0" fontId="51" fillId="0" borderId="9" applyAlignment="1" pivotButton="0" quotePrefix="0" xfId="0">
      <alignment horizontal="center"/>
    </xf>
    <xf numFmtId="0" fontId="49" fillId="37" borderId="9" pivotButton="0" quotePrefix="0" xfId="0"/>
    <xf numFmtId="0" fontId="51" fillId="37" borderId="9" pivotButton="0" quotePrefix="0" xfId="0"/>
    <xf numFmtId="0" fontId="54" fillId="0" borderId="14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>
          <bgColor rgb="FF27AE60"/>
        </patternFill>
      </fill>
    </dxf>
    <dxf>
      <fill>
        <patternFill>
          <bgColor rgb="FFE74C3C"/>
        </patternFill>
      </fill>
    </dxf>
    <dxf>
      <fill>
        <patternFill>
          <bgColor rgb="FFBFBFBF"/>
        </patternFill>
      </fill>
    </dxf>
  </dxfs>
  <colors>
    <indexedColors>
      <rgbColor rgb="FF000000"/>
      <rgbColor rgb="FFFFFFFF"/>
      <rgbColor rgb="FFD35400"/>
      <rgbColor rgb="FFF5EEF8"/>
      <rgbColor rgb="FF0000FF"/>
      <rgbColor rgb="FFFDEBD0"/>
      <rgbColor rgb="FFFF00FF"/>
      <rgbColor rgb="FFEBF5FB"/>
      <rgbColor rgb="FF800000"/>
      <rgbColor rgb="FFF8F9FA"/>
      <rgbColor rgb="FF000080"/>
      <rgbColor rgb="FF666666"/>
      <rgbColor rgb="FF800080"/>
      <rgbColor rgb="FF1E8449"/>
      <rgbColor rgb="FFBFBFBF"/>
      <rgbColor rgb="FF7F8C8D"/>
      <rgbColor rgb="FFE8DAEF"/>
      <rgbColor rgb="FF8E44AD"/>
      <rgbColor rgb="FFFCF3CF"/>
      <rgbColor rgb="FFD4EFDF"/>
      <rgbColor rgb="FF660066"/>
      <rgbColor rgb="FFE74C3C"/>
      <rgbColor rgb="FF2980B9"/>
      <rgbColor rgb="FFD5D8DC"/>
      <rgbColor rgb="FF000080"/>
      <rgbColor rgb="FFFF00FF"/>
      <rgbColor rgb="FFE0E0E0"/>
      <rgbColor rgb="FFEAECEE"/>
      <rgbColor rgb="FF800080"/>
      <rgbColor rgb="FF800000"/>
      <rgbColor rgb="FF16A085"/>
      <rgbColor rgb="FF0000FF"/>
      <rgbColor rgb="FFECEFF1"/>
      <rgbColor rgb="FFD6EAF8"/>
      <rgbColor rgb="FFD5F5E3"/>
      <rgbColor rgb="FFFFFF99"/>
      <rgbColor rgb="FFAED6F1"/>
      <rgbColor rgb="FFFADBD8"/>
      <rgbColor rgb="FFBDC3C7"/>
      <rgbColor rgb="FFFAD7A0"/>
      <rgbColor rgb="FF3498DB"/>
      <rgbColor rgb="FF1ABC9C"/>
      <rgbColor rgb="FFABEBC6"/>
      <rgbColor rgb="FFF1C40F"/>
      <rgbColor rgb="FFF39C12"/>
      <rgbColor rgb="FFE67E22"/>
      <rgbColor rgb="FF5D6D7E"/>
      <rgbColor rgb="FF85929E"/>
      <rgbColor rgb="FF003366"/>
      <rgbColor rgb="FF27AE60"/>
      <rgbColor rgb="FF003300"/>
      <rgbColor rgb="FF333300"/>
      <rgbColor rgb="FFC0392B"/>
      <rgbColor rgb="FF9B59B6"/>
      <rgbColor rgb="FF2F5496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28" activeCellId="0" sqref="E28"/>
    </sheetView>
  </sheetViews>
  <sheetFormatPr baseColWidth="8" defaultColWidth="8.71484375" defaultRowHeight="15" zeroHeight="0" outlineLevelRow="0"/>
  <cols>
    <col width="25" customWidth="1" style="220" min="1" max="1"/>
    <col width="11" customWidth="1" style="220" min="2" max="2"/>
    <col width="11" customWidth="1" style="220" min="3" max="4"/>
    <col width="11" customWidth="1" style="221" min="4" max="4"/>
    <col width="11" customWidth="1" style="220" min="5" max="5"/>
    <col width="11" customWidth="1" style="220" min="6" max="6"/>
    <col width="11" customWidth="1" style="220" min="7" max="7"/>
    <col width="11" customWidth="1" style="220" min="8" max="8"/>
    <col width="11" customWidth="1" style="220" min="9" max="9"/>
    <col width="11" customWidth="1" style="220" min="10" max="10"/>
    <col width="11" customWidth="1" style="221" min="11" max="11"/>
    <col width="11" customWidth="1" style="221" min="12" max="12"/>
    <col width="11" customWidth="1" style="221" min="13" max="13"/>
    <col width="11" customWidth="1" style="221" min="14" max="14"/>
  </cols>
  <sheetData>
    <row r="1" ht="17.25" customHeight="1" s="221">
      <c r="A1" s="472" t="inlineStr">
        <is>
          <t>📊 TABLERO DE CONTROL FINANCIERO - NEUROTEA + FAMILIA</t>
        </is>
      </c>
    </row>
    <row r="2">
      <c r="A2" s="473" t="n"/>
      <c r="B2" s="473" t="n"/>
      <c r="C2" s="473" t="n"/>
      <c r="D2" s="473" t="n"/>
      <c r="E2" s="473" t="n"/>
      <c r="F2" s="473" t="n"/>
      <c r="G2" s="473" t="n"/>
      <c r="H2" s="473" t="n"/>
      <c r="I2" s="473" t="n"/>
      <c r="J2" s="473" t="n"/>
      <c r="K2" s="473" t="n"/>
      <c r="L2" s="473" t="n"/>
      <c r="M2" s="473" t="n"/>
      <c r="N2" s="473" t="n"/>
    </row>
    <row r="3" ht="15" customHeight="1" s="221">
      <c r="A3" s="474" t="inlineStr">
        <is>
          <t>Mes seleccionado:</t>
        </is>
      </c>
      <c r="B3" s="475" t="inlineStr">
        <is>
          <t>Enero 2026</t>
        </is>
      </c>
      <c r="C3" s="473" t="n"/>
      <c r="D3" s="474" t="inlineStr">
        <is>
          <t>Fecha de hoy:</t>
        </is>
      </c>
      <c r="E3" s="476">
        <f>TODAY()</f>
        <v/>
      </c>
      <c r="F3" s="473" t="n"/>
      <c r="G3" s="473" t="n"/>
      <c r="H3" s="473" t="n"/>
      <c r="I3" s="473" t="n"/>
      <c r="J3" s="473" t="n"/>
      <c r="K3" s="473" t="n"/>
      <c r="L3" s="473" t="n"/>
      <c r="M3" s="473" t="n"/>
      <c r="N3" s="473" t="n"/>
    </row>
    <row r="4">
      <c r="A4" s="473" t="n"/>
      <c r="B4" s="473" t="n"/>
      <c r="C4" s="473" t="n"/>
      <c r="D4" s="473" t="n"/>
      <c r="E4" s="473" t="n"/>
      <c r="F4" s="473" t="n"/>
      <c r="G4" s="473" t="n"/>
      <c r="H4" s="473" t="n"/>
      <c r="I4" s="473" t="n"/>
      <c r="J4" s="473" t="n"/>
      <c r="K4" s="473" t="n"/>
      <c r="L4" s="473" t="n"/>
      <c r="M4" s="473" t="n"/>
      <c r="N4" s="473" t="n"/>
    </row>
    <row r="5" ht="20" customHeight="1" s="221">
      <c r="A5" s="477" t="inlineStr">
        <is>
          <t>═══ 🚨 SUPERVIVENCIA FINANCIERA ═══</t>
        </is>
      </c>
      <c r="F5" s="473" t="n"/>
      <c r="G5" s="477" t="inlineStr">
        <is>
          <t>═══ 📅 LIQUIDEZ SEMANAL ═══</t>
        </is>
      </c>
      <c r="L5" s="473" t="n"/>
      <c r="M5" s="473" t="n"/>
      <c r="N5" s="473" t="n"/>
    </row>
    <row r="6" ht="15" customHeight="1" s="221">
      <c r="A6" s="478" t="inlineStr">
        <is>
          <t>Indicador</t>
        </is>
      </c>
      <c r="B6" s="478" t="inlineStr">
        <is>
          <t>Valor</t>
        </is>
      </c>
      <c r="C6" s="478" t="inlineStr">
        <is>
          <t>Meta</t>
        </is>
      </c>
      <c r="D6" s="478" t="inlineStr">
        <is>
          <t>Estado</t>
        </is>
      </c>
      <c r="E6" s="473" t="n"/>
      <c r="F6" s="473" t="n"/>
      <c r="G6" s="478" t="inlineStr">
        <is>
          <t>Concepto</t>
        </is>
      </c>
      <c r="H6" s="478" t="inlineStr">
        <is>
          <t>Cant.</t>
        </is>
      </c>
      <c r="I6" s="478" t="inlineStr">
        <is>
          <t>Monto</t>
        </is>
      </c>
      <c r="J6" s="478" t="inlineStr">
        <is>
          <t>Acumulado</t>
        </is>
      </c>
      <c r="K6" s="478" t="inlineStr">
        <is>
          <t>Estado</t>
        </is>
      </c>
      <c r="L6" s="473" t="n"/>
      <c r="M6" s="473" t="n"/>
      <c r="N6" s="473" t="n"/>
    </row>
    <row r="7" ht="17.25" customHeight="1" s="221">
      <c r="A7" s="479" t="inlineStr">
        <is>
          <t>💰 Caja disponible TOTAL ✏️</t>
        </is>
      </c>
      <c r="B7" s="480" t="n">
        <v>0</v>
      </c>
      <c r="C7" s="479" t="inlineStr">
        <is>
          <t>3 meses gastos</t>
        </is>
      </c>
      <c r="D7" s="479">
        <f>IF(B7=0,"⚪ Sin datos",IF(B8&gt;=90,"🟢 OK",IF(B8&gt;=30,"🟡 ALERTA","🔴 CRÍTICO")))</f>
        <v/>
      </c>
      <c r="E7" s="473" t="n"/>
      <c r="F7" s="473" t="n"/>
      <c r="G7" s="479" t="inlineStr">
        <is>
          <t>Caja disponible</t>
        </is>
      </c>
      <c r="H7" s="481" t="n"/>
      <c r="I7" s="481">
        <f>B7</f>
        <v/>
      </c>
      <c r="J7" s="481">
        <f>I7</f>
        <v/>
      </c>
      <c r="K7" s="479" t="inlineStr"/>
      <c r="L7" s="473" t="n"/>
      <c r="M7" s="473" t="n"/>
      <c r="N7" s="473" t="n"/>
    </row>
    <row r="8" ht="17.25" customHeight="1" s="221">
      <c r="A8" s="479" t="inlineStr">
        <is>
          <t>⏱️ Días de oxígeno</t>
        </is>
      </c>
      <c r="B8" s="481">
        <f>IF(B15=0,0,ROUND(B7/B15*30,0))</f>
        <v/>
      </c>
      <c r="C8" s="479" t="inlineStr">
        <is>
          <t>≥ 90 días</t>
        </is>
      </c>
      <c r="D8" s="479">
        <f>IF(B8=0,"⚪ Sin datos",IF(B8&gt;=90,"🟢 OK",IF(B8&gt;=30,"🟡 ALERTA","🔴 CRÍTICO")))</f>
        <v/>
      </c>
      <c r="E8" s="473" t="n"/>
      <c r="F8" s="473" t="n"/>
      <c r="G8" s="479" t="inlineStr">
        <is>
          <t>🔴 Atrasados</t>
        </is>
      </c>
      <c r="H8" s="480" t="inlineStr">
        <is>
          <t>✏️</t>
        </is>
      </c>
      <c r="I8" s="480" t="n">
        <v>0</v>
      </c>
      <c r="J8" s="481">
        <f>J7-I8</f>
        <v/>
      </c>
      <c r="K8" s="479">
        <f>IF(I8=0,"🟢",IF(J8&gt;=0,"🟡 Pagar","🔴 Deuda"))</f>
        <v/>
      </c>
      <c r="L8" s="473" t="n"/>
      <c r="M8" s="473" t="n"/>
      <c r="N8" s="473" t="n"/>
    </row>
    <row r="9" ht="15" customHeight="1" s="221">
      <c r="A9" s="479" t="inlineStr">
        <is>
          <t>📋 Gastos pendientes mes</t>
        </is>
      </c>
      <c r="B9" s="481">
        <f>IFERROR(INDIRECT("'"&amp;B3&amp;"'!C73"),0)+IFERROR(INDIRECT("'"&amp;B3&amp;"'!I65"),0)</f>
        <v/>
      </c>
      <c r="C9" s="479" t="inlineStr">
        <is>
          <t>Cubrir con caja</t>
        </is>
      </c>
      <c r="D9" s="479">
        <f>IF(B9=0,"🟢 OK",IF(B9&lt;=B7,"🟢 Cubierto","🔴 No alcanza"))</f>
        <v/>
      </c>
      <c r="E9" s="473" t="n"/>
      <c r="F9" s="473" t="n"/>
      <c r="G9" s="479" t="inlineStr">
        <is>
          <t>📅 Esta semana</t>
        </is>
      </c>
      <c r="H9" s="482" t="inlineStr">
        <is>
          <t>✏️</t>
        </is>
      </c>
      <c r="I9" s="480" t="n">
        <v>0</v>
      </c>
      <c r="J9" s="481">
        <f>J8-I9</f>
        <v/>
      </c>
      <c r="K9" s="479">
        <f>IF(J9&gt;=0,"🟢 Alcanza","🔴 Falta")</f>
        <v/>
      </c>
      <c r="L9" s="473" t="n"/>
      <c r="M9" s="473" t="n"/>
      <c r="N9" s="473" t="n"/>
    </row>
    <row r="10" ht="15" customHeight="1" s="221">
      <c r="A10" s="479" t="inlineStr">
        <is>
          <t>⚠️ Préstamo NT → Familia</t>
        </is>
      </c>
      <c r="B10" s="481">
        <f>IFERROR(INDIRECT("'"&amp;B3&amp;"'!D6"),0)</f>
        <v/>
      </c>
      <c r="C10" s="479" t="inlineStr">
        <is>
          <t>0 (ideal)</t>
        </is>
      </c>
      <c r="D10" s="479">
        <f>IF(B10=0,"🟢 SANO","🔴 FUGA")</f>
        <v/>
      </c>
      <c r="E10" s="473" t="n"/>
      <c r="F10" s="473" t="n"/>
      <c r="G10" s="479" t="inlineStr">
        <is>
          <t>📅 Próxima semana</t>
        </is>
      </c>
      <c r="H10" s="482" t="inlineStr">
        <is>
          <t>✏️</t>
        </is>
      </c>
      <c r="I10" s="480" t="n">
        <v>0</v>
      </c>
      <c r="J10" s="481">
        <f>J9-I10</f>
        <v/>
      </c>
      <c r="K10" s="479">
        <f>IF(J10&gt;=0,"🟢 Alcanza","🔴 Falta")</f>
        <v/>
      </c>
      <c r="L10" s="473" t="n"/>
      <c r="M10" s="473" t="n"/>
      <c r="N10" s="473" t="n"/>
    </row>
    <row r="11" ht="15" customHeight="1" s="221">
      <c r="A11" s="473" t="n"/>
      <c r="B11" s="473" t="n"/>
      <c r="C11" s="473" t="n"/>
      <c r="D11" s="473" t="n"/>
      <c r="E11" s="473" t="n"/>
      <c r="F11" s="473" t="n"/>
      <c r="G11" s="483" t="inlineStr">
        <is>
          <t>SALDO FINAL</t>
        </is>
      </c>
      <c r="H11" s="479" t="n"/>
      <c r="I11" s="479" t="n"/>
      <c r="J11" s="484">
        <f>J10</f>
        <v/>
      </c>
      <c r="K11" s="483">
        <f>IF(J11&gt;=0,"🟢 OK","🔴 DÉFICIT")</f>
        <v/>
      </c>
      <c r="L11" s="473" t="n"/>
      <c r="M11" s="473" t="n"/>
      <c r="N11" s="473" t="n"/>
    </row>
    <row r="12" ht="15" customHeight="1" s="221">
      <c r="A12" s="473" t="n"/>
      <c r="B12" s="473" t="n"/>
      <c r="C12" s="473" t="n"/>
      <c r="D12" s="473" t="n"/>
      <c r="E12" s="473" t="n"/>
      <c r="F12" s="473" t="n"/>
      <c r="G12" s="473" t="n"/>
      <c r="H12" s="473" t="n"/>
      <c r="I12" s="473" t="n"/>
      <c r="J12" s="473" t="n"/>
      <c r="K12" s="473" t="n"/>
      <c r="L12" s="473" t="n"/>
      <c r="M12" s="473" t="n"/>
      <c r="N12" s="473" t="n"/>
    </row>
    <row r="13" ht="20" customHeight="1" s="221">
      <c r="A13" s="477" t="inlineStr">
        <is>
          <t>═══ 💵 FLUJO DEL MES ═══</t>
        </is>
      </c>
      <c r="F13" s="473" t="n"/>
      <c r="G13" s="477" t="inlineStr">
        <is>
          <t>═══ 💳 SITUACIÓN DE DEUDAS ═══</t>
        </is>
      </c>
      <c r="L13" s="473" t="n"/>
      <c r="M13" s="473" t="n"/>
      <c r="N13" s="473" t="n"/>
    </row>
    <row r="14" ht="15" customHeight="1" s="221">
      <c r="A14" s="478" t="inlineStr">
        <is>
          <t>Indicador</t>
        </is>
      </c>
      <c r="B14" s="488" t="inlineStr">
        <is>
          <t>Familia</t>
        </is>
      </c>
      <c r="C14" s="488" t="inlineStr">
        <is>
          <t>NeuroTEA</t>
        </is>
      </c>
      <c r="D14" s="488" t="inlineStr">
        <is>
          <t>Total</t>
        </is>
      </c>
      <c r="E14" s="478" t="inlineStr">
        <is>
          <t>Estado</t>
        </is>
      </c>
      <c r="F14" s="473" t="n"/>
      <c r="G14" s="478" t="inlineStr">
        <is>
          <t>Indicador</t>
        </is>
      </c>
      <c r="H14" s="478" t="inlineStr">
        <is>
          <t>Valor</t>
        </is>
      </c>
      <c r="I14" s="478" t="inlineStr"/>
      <c r="J14" s="478" t="inlineStr"/>
      <c r="K14" s="478" t="inlineStr">
        <is>
          <t>Estado</t>
        </is>
      </c>
      <c r="L14" s="473" t="n"/>
      <c r="M14" s="473" t="n"/>
      <c r="N14" s="473" t="n"/>
    </row>
    <row r="15" ht="15" customHeight="1" s="221">
      <c r="A15" s="479" t="inlineStr">
        <is>
          <t>📈 Ingresos</t>
        </is>
      </c>
      <c r="B15" s="481">
        <f>IFERROR(INDIRECT("'"&amp;$B$3&amp;"'!D26"),0)</f>
        <v/>
      </c>
      <c r="C15" s="481">
        <f>IFERROR(INDIRECT("'"&amp;$B$3&amp;"'!I15"),0)</f>
        <v/>
      </c>
      <c r="D15" s="481">
        <f>B15+C15</f>
        <v/>
      </c>
      <c r="E15" s="479">
        <f>IF(D15=0,"⚪",IF(D15&gt;0,"🟢","🔴"))</f>
        <v/>
      </c>
      <c r="F15" s="473" t="n"/>
      <c r="G15" s="479" t="inlineStr">
        <is>
          <t>Deuda TOTAL</t>
        </is>
      </c>
      <c r="H15" s="481">
        <f>IFERROR(DEUDAS!E28,0)</f>
        <v/>
      </c>
      <c r="I15" s="445" t="n"/>
      <c r="J15" s="446" t="n"/>
      <c r="K15" s="479">
        <f>IF(H15=0,"🟢","🟡 Activa")</f>
        <v/>
      </c>
      <c r="L15" s="473" t="n"/>
      <c r="M15" s="473" t="n"/>
      <c r="N15" s="473" t="n"/>
    </row>
    <row r="16" ht="15" customHeight="1" s="221">
      <c r="A16" s="479" t="inlineStr">
        <is>
          <t>📉 Egresos</t>
        </is>
      </c>
      <c r="B16" s="481">
        <f>IFERROR(INDIRECT("'"&amp;$B$3&amp;"'!C72"),0)+IFERROR(INDIRECT("'"&amp;$B$3&amp;"'!C73"),0)</f>
        <v/>
      </c>
      <c r="C16" s="481">
        <f>IFERROR(INDIRECT("'"&amp;$B$3&amp;"'!I64"),0)+IFERROR(INDIRECT("'"&amp;$B$3&amp;"'!I65"),0)</f>
        <v/>
      </c>
      <c r="D16" s="481">
        <f>B16+C16</f>
        <v/>
      </c>
      <c r="E16" s="479">
        <f>IF(D16=0,"⚪",IF(D16&lt;=D15,"🟢","🔴"))</f>
        <v/>
      </c>
      <c r="F16" s="473" t="n"/>
      <c r="G16" s="479" t="inlineStr">
        <is>
          <t>Cuotas mensuales</t>
        </is>
      </c>
      <c r="H16" s="481">
        <f>IFERROR(DEUDAS!F28,0)</f>
        <v/>
      </c>
      <c r="I16" s="445" t="n"/>
      <c r="J16" s="446" t="n"/>
      <c r="K16" s="479">
        <f>IF(H16=0,"🟢",IF(H16&lt;=B17,"🟢 Cubierto","🔴 Excede"))</f>
        <v/>
      </c>
      <c r="L16" s="473" t="n"/>
      <c r="M16" s="473" t="n"/>
      <c r="N16" s="473" t="n"/>
    </row>
    <row r="17" ht="15" customHeight="1" s="221">
      <c r="A17" s="483" t="inlineStr">
        <is>
          <t>📊 Balance</t>
        </is>
      </c>
      <c r="B17" s="484">
        <f>B15-B16</f>
        <v/>
      </c>
      <c r="C17" s="484">
        <f>C15-C16</f>
        <v/>
      </c>
      <c r="D17" s="484">
        <f>D15-D16</f>
        <v/>
      </c>
      <c r="E17" s="483">
        <f>IF(D17=0,"⚪",IF(D17&gt;0,"🟢 GANASTE","🔴 PERDISTE"))</f>
        <v/>
      </c>
      <c r="F17" s="473" t="n"/>
      <c r="G17" s="479" t="inlineStr">
        <is>
          <t>IPS al día ✏️</t>
        </is>
      </c>
      <c r="H17" s="482" t="inlineStr">
        <is>
          <t>SÍ</t>
        </is>
      </c>
      <c r="I17" s="445" t="n"/>
      <c r="J17" s="446" t="n"/>
      <c r="K17" s="479">
        <f>IF(H17="SÍ","🟢","🔴 URGENTE")</f>
        <v/>
      </c>
      <c r="L17" s="473" t="n"/>
      <c r="M17" s="473" t="n"/>
      <c r="N17" s="473" t="n"/>
    </row>
    <row r="18" ht="15" customHeight="1" s="221">
      <c r="A18" s="473" t="n"/>
      <c r="B18" s="473" t="n"/>
      <c r="C18" s="473" t="n"/>
      <c r="D18" s="473" t="n"/>
      <c r="E18" s="473" t="n"/>
      <c r="F18" s="473" t="n"/>
      <c r="G18" s="479" t="inlineStr">
        <is>
          <t>IVA al día ✏️</t>
        </is>
      </c>
      <c r="H18" s="482" t="inlineStr">
        <is>
          <t>SÍ</t>
        </is>
      </c>
      <c r="I18" s="445" t="n"/>
      <c r="J18" s="446" t="n"/>
      <c r="K18" s="479">
        <f>IF(H18="SÍ","🟢","🔴 URGENTE")</f>
        <v/>
      </c>
      <c r="L18" s="473" t="n"/>
      <c r="M18" s="473" t="n"/>
      <c r="N18" s="473" t="n"/>
    </row>
    <row r="19" ht="15" customHeight="1" s="221">
      <c r="A19" s="473" t="n"/>
      <c r="B19" s="473" t="n"/>
      <c r="C19" s="473" t="n"/>
      <c r="D19" s="473" t="n"/>
      <c r="E19" s="473" t="n"/>
      <c r="F19" s="473" t="n"/>
      <c r="G19" s="473" t="n"/>
      <c r="H19" s="473" t="n"/>
      <c r="I19" s="473" t="n"/>
      <c r="J19" s="473" t="n"/>
      <c r="K19" s="473" t="n"/>
      <c r="L19" s="473" t="n"/>
      <c r="M19" s="473" t="n"/>
      <c r="N19" s="473" t="n"/>
    </row>
    <row r="20" ht="20" customHeight="1" s="221">
      <c r="A20" s="477" t="inlineStr">
        <is>
          <t>═══ 🏥 SALUD FINANCIERA NEUROTEA ═══</t>
        </is>
      </c>
      <c r="F20" s="473" t="n"/>
      <c r="G20" s="477" t="inlineStr">
        <is>
          <t>═══ 🛡️ FONDO DE RESERVA ═══</t>
        </is>
      </c>
      <c r="L20" s="473" t="n"/>
      <c r="M20" s="473" t="n"/>
      <c r="N20" s="473" t="n"/>
    </row>
    <row r="21" ht="15" customHeight="1" s="221">
      <c r="A21" s="478" t="inlineStr">
        <is>
          <t>Concepto</t>
        </is>
      </c>
      <c r="B21" s="489" t="inlineStr">
        <is>
          <t>% Ideal</t>
        </is>
      </c>
      <c r="C21" s="488" t="inlineStr">
        <is>
          <t>Monto Ideal</t>
        </is>
      </c>
      <c r="D21" s="488" t="inlineStr">
        <is>
          <t>Monto Real</t>
        </is>
      </c>
      <c r="E21" s="478" t="inlineStr">
        <is>
          <t>Estado</t>
        </is>
      </c>
      <c r="F21" s="473" t="n"/>
      <c r="G21" s="479" t="inlineStr">
        <is>
          <t>Reserva Familiar ✏️</t>
        </is>
      </c>
      <c r="H21" s="480" t="n">
        <v>0</v>
      </c>
      <c r="I21" s="445" t="n"/>
      <c r="J21" s="446" t="n"/>
      <c r="K21" s="479">
        <f>IF(H21=0,"🔴 Sin fondo","🟢")</f>
        <v/>
      </c>
      <c r="L21" s="473" t="n"/>
      <c r="M21" s="473" t="n"/>
      <c r="N21" s="473" t="n"/>
    </row>
    <row r="22" ht="15" customHeight="1" s="221">
      <c r="A22" s="479" t="inlineStr">
        <is>
          <t>Gastos Operativos</t>
        </is>
      </c>
      <c r="B22" s="490">
        <f>Configuración!B20</f>
        <v/>
      </c>
      <c r="C22" s="481">
        <f>C15*Configuración!B20</f>
        <v/>
      </c>
      <c r="D22" s="481">
        <f>C16</f>
        <v/>
      </c>
      <c r="E22" s="479">
        <f>IF(C15=0,"-",IF(D22&lt;=C22,"🟢","🔴"))</f>
        <v/>
      </c>
      <c r="F22" s="473" t="n"/>
      <c r="G22" s="479" t="inlineStr">
        <is>
          <t>Reserva NeuroTEA ✏️</t>
        </is>
      </c>
      <c r="H22" s="480" t="n">
        <v>0</v>
      </c>
      <c r="I22" s="445" t="n"/>
      <c r="J22" s="446" t="n"/>
      <c r="K22" s="479">
        <f>IF(H22=0,"🔴 Sin fondo","🟢")</f>
        <v/>
      </c>
      <c r="L22" s="473" t="n"/>
      <c r="M22" s="473" t="n"/>
      <c r="N22" s="473" t="n"/>
    </row>
    <row r="23" ht="15" customHeight="1" s="221">
      <c r="A23" s="479" t="inlineStr">
        <is>
          <t>Compensación dueño</t>
        </is>
      </c>
      <c r="B23" s="491">
        <f>Configuración!B23</f>
        <v/>
      </c>
      <c r="C23" s="481">
        <f>C15*Configuración!B23</f>
        <v/>
      </c>
      <c r="D23" s="480" t="n">
        <v>0</v>
      </c>
      <c r="E23" s="479">
        <f>IF(D23&gt;=C23,"🟢","🔴")</f>
        <v/>
      </c>
      <c r="F23" s="473" t="n"/>
      <c r="G23" s="479" t="inlineStr">
        <is>
          <t>Meta (3 meses gastos)</t>
        </is>
      </c>
      <c r="H23" s="481">
        <f>D16*3</f>
        <v/>
      </c>
      <c r="I23" s="445" t="n"/>
      <c r="J23" s="446" t="n"/>
      <c r="K23" s="479" t="inlineStr"/>
      <c r="L23" s="473" t="n"/>
      <c r="M23" s="473" t="n"/>
      <c r="N23" s="473" t="n"/>
    </row>
    <row r="24" ht="15" customHeight="1" s="221">
      <c r="A24" s="479" t="inlineStr">
        <is>
          <t>Fondo emergencia</t>
        </is>
      </c>
      <c r="B24" s="491">
        <f>Configuración!B24</f>
        <v/>
      </c>
      <c r="C24" s="481">
        <f>C15*Configuración!B24</f>
        <v/>
      </c>
      <c r="D24" s="480" t="n">
        <v>0</v>
      </c>
      <c r="E24" s="479">
        <f>IF(D24&gt;=C24,"🟢","🔴")</f>
        <v/>
      </c>
      <c r="F24" s="473" t="n"/>
      <c r="G24" s="483" t="inlineStr">
        <is>
          <t>% Meta alcanzado</t>
        </is>
      </c>
      <c r="H24" s="492">
        <f>IF(H23=0,0,(H21+H22)/H23)</f>
        <v/>
      </c>
      <c r="I24" s="445" t="n"/>
      <c r="J24" s="446" t="n"/>
      <c r="K24" s="483">
        <f>IF(H24&gt;=1,"🟢 META",IF(H24&gt;=0.5,"🟡 Avanzando","🔴 Bajo"))</f>
        <v/>
      </c>
      <c r="L24" s="473" t="n"/>
      <c r="M24" s="473" t="n"/>
      <c r="N24" s="473" t="n"/>
    </row>
    <row r="25" ht="17.25" customHeight="1" s="221">
      <c r="A25" s="479" t="inlineStr">
        <is>
          <t>Inversión</t>
        </is>
      </c>
      <c r="B25" s="491">
        <f>Configuración!B25</f>
        <v/>
      </c>
      <c r="C25" s="481">
        <f>C15*Configuración!B25</f>
        <v/>
      </c>
      <c r="D25" s="480" t="n">
        <v>0</v>
      </c>
      <c r="E25" s="479">
        <f>IF(D25&gt;=C25,"🟢","🔴")</f>
        <v/>
      </c>
      <c r="F25" s="473" t="n"/>
      <c r="G25" s="473" t="n"/>
      <c r="H25" s="486" t="n"/>
      <c r="I25" s="473" t="n"/>
      <c r="J25" s="473" t="n"/>
      <c r="K25" s="473" t="n"/>
      <c r="L25" s="473" t="n"/>
      <c r="M25" s="473" t="n"/>
      <c r="N25" s="473" t="n"/>
    </row>
    <row r="26" ht="20" customHeight="1" s="221">
      <c r="A26" s="479" t="inlineStr">
        <is>
          <t>Imprevistos</t>
        </is>
      </c>
      <c r="B26" s="491">
        <f>Configuración!B26</f>
        <v/>
      </c>
      <c r="C26" s="481">
        <f>C15*Configuración!B26</f>
        <v/>
      </c>
      <c r="D26" s="480" t="n">
        <v>0</v>
      </c>
      <c r="E26" s="479">
        <f>IF(D26&gt;=C26,"🟢","🔴")</f>
        <v/>
      </c>
      <c r="F26" s="473" t="n"/>
      <c r="G26" s="477" t="inlineStr">
        <is>
          <t>═══ 📋 ACCIONES DE LA SEMANA ═══</t>
        </is>
      </c>
      <c r="L26" s="473" t="n"/>
      <c r="M26" s="473" t="n"/>
      <c r="N26" s="473" t="n"/>
    </row>
    <row r="27" ht="17.25" customHeight="1" s="221">
      <c r="A27" s="483" t="inlineStr">
        <is>
          <t>% Gastos / Ingreso NT:</t>
        </is>
      </c>
      <c r="B27" s="492">
        <f>IF(C15=0,0,D22/C15)</f>
        <v/>
      </c>
      <c r="C27" s="483" t="inlineStr">
        <is>
          <t>DIAGNÓSTICO:</t>
        </is>
      </c>
      <c r="D27" s="483">
        <f>IF(C15=0,"⚪ Sin datos",IF(B27&lt;=Configuración!B20,"🟢 CLÍNICA SANA",IF(B27&lt;=1,"🟡 REVISAR","🔴 CRÍTICA")))</f>
        <v/>
      </c>
      <c r="E27" s="446" t="n"/>
      <c r="F27" s="473" t="n"/>
      <c r="G27" s="479" t="inlineStr">
        <is>
          <t>Fecha revisión ✏️</t>
        </is>
      </c>
      <c r="H27" s="493" t="inlineStr"/>
      <c r="I27" s="445" t="n"/>
      <c r="J27" s="445" t="n"/>
      <c r="K27" s="446" t="n"/>
      <c r="L27" s="473" t="n"/>
      <c r="M27" s="473" t="n"/>
      <c r="N27" s="473" t="n"/>
    </row>
    <row r="28">
      <c r="A28" s="473" t="n"/>
      <c r="B28" s="473" t="n"/>
      <c r="C28" s="473" t="n"/>
      <c r="D28" s="473" t="n"/>
      <c r="E28" s="473" t="n"/>
      <c r="F28" s="473" t="n"/>
      <c r="G28" s="479" t="inlineStr">
        <is>
          <t>1.</t>
        </is>
      </c>
      <c r="H28" s="482" t="inlineStr"/>
      <c r="I28" s="445" t="n"/>
      <c r="J28" s="445" t="n"/>
      <c r="K28" s="446" t="n"/>
      <c r="L28" s="473" t="n"/>
      <c r="M28" s="473" t="n"/>
      <c r="N28" s="473" t="n"/>
    </row>
    <row r="29">
      <c r="A29" s="473" t="n"/>
      <c r="B29" s="473" t="n"/>
      <c r="C29" s="473" t="n"/>
      <c r="D29" s="473" t="n"/>
      <c r="E29" s="473" t="n"/>
      <c r="F29" s="473" t="n"/>
      <c r="G29" s="479" t="inlineStr">
        <is>
          <t>2.</t>
        </is>
      </c>
      <c r="H29" s="482" t="inlineStr"/>
      <c r="I29" s="445" t="n"/>
      <c r="J29" s="445" t="n"/>
      <c r="K29" s="446" t="n"/>
      <c r="L29" s="473" t="n"/>
      <c r="M29" s="473" t="n"/>
      <c r="N29" s="473" t="n"/>
    </row>
    <row r="30">
      <c r="A30" s="473" t="n"/>
      <c r="B30" s="473" t="n"/>
      <c r="C30" s="473" t="n"/>
      <c r="D30" s="473" t="n"/>
      <c r="E30" s="473" t="n"/>
      <c r="F30" s="473" t="n"/>
      <c r="G30" s="479" t="inlineStr">
        <is>
          <t>3.</t>
        </is>
      </c>
      <c r="H30" s="482" t="inlineStr"/>
      <c r="I30" s="445" t="n"/>
      <c r="J30" s="445" t="n"/>
      <c r="K30" s="446" t="n"/>
      <c r="L30" s="473" t="n"/>
      <c r="M30" s="473" t="n"/>
      <c r="N30" s="473" t="n"/>
    </row>
    <row r="31">
      <c r="A31" s="473" t="n"/>
      <c r="B31" s="473" t="n"/>
      <c r="C31" s="473" t="n"/>
      <c r="D31" s="473" t="n"/>
      <c r="E31" s="473" t="n"/>
      <c r="F31" s="473" t="n"/>
      <c r="G31" s="479" t="inlineStr">
        <is>
          <t>4.</t>
        </is>
      </c>
      <c r="H31" s="482" t="inlineStr"/>
      <c r="I31" s="445" t="n"/>
      <c r="J31" s="445" t="n"/>
      <c r="K31" s="446" t="n"/>
      <c r="L31" s="473" t="n"/>
      <c r="M31" s="473" t="n"/>
      <c r="N31" s="473" t="n"/>
    </row>
    <row r="32">
      <c r="A32" s="473" t="n"/>
      <c r="B32" s="473" t="n"/>
      <c r="C32" s="473" t="n"/>
      <c r="D32" s="473" t="n"/>
      <c r="E32" s="473" t="n"/>
      <c r="F32" s="473" t="n"/>
      <c r="G32" s="479" t="inlineStr">
        <is>
          <t>5.</t>
        </is>
      </c>
      <c r="H32" s="482" t="inlineStr"/>
      <c r="I32" s="445" t="n"/>
      <c r="J32" s="445" t="n"/>
      <c r="K32" s="446" t="n"/>
      <c r="L32" s="473" t="n"/>
      <c r="M32" s="473" t="n"/>
      <c r="N32" s="473" t="n"/>
    </row>
    <row r="33">
      <c r="A33" s="473" t="n"/>
      <c r="B33" s="473" t="n"/>
      <c r="C33" s="473" t="n"/>
      <c r="D33" s="473" t="n"/>
      <c r="E33" s="473" t="n"/>
      <c r="F33" s="473" t="n"/>
      <c r="G33" s="473" t="n"/>
      <c r="H33" s="473" t="n"/>
      <c r="I33" s="473" t="n"/>
      <c r="J33" s="473" t="n"/>
      <c r="K33" s="473" t="n"/>
      <c r="L33" s="473" t="n"/>
      <c r="M33" s="473" t="n"/>
      <c r="N33" s="473" t="n"/>
    </row>
    <row r="34">
      <c r="A34" s="473" t="n"/>
      <c r="B34" s="473" t="n"/>
      <c r="C34" s="473" t="n"/>
      <c r="D34" s="473" t="n"/>
      <c r="E34" s="473" t="n"/>
      <c r="F34" s="473" t="n"/>
      <c r="G34" s="473" t="n"/>
      <c r="H34" s="473" t="n"/>
      <c r="I34" s="473" t="n"/>
      <c r="J34" s="473" t="n"/>
      <c r="K34" s="473" t="n"/>
      <c r="L34" s="473" t="n"/>
      <c r="M34" s="473" t="n"/>
      <c r="N34" s="473" t="n"/>
    </row>
    <row r="35" ht="20" customHeight="1" s="221">
      <c r="A35" s="494" t="inlineStr">
        <is>
          <t>═══ 📊 CUMPLIMIENTO PRESUPUESTO 2026 ═══</t>
        </is>
      </c>
    </row>
    <row r="36">
      <c r="A36" s="495" t="inlineStr"/>
      <c r="B36" s="496" t="inlineStr">
        <is>
          <t>ENE</t>
        </is>
      </c>
      <c r="C36" s="496" t="inlineStr">
        <is>
          <t>FEB</t>
        </is>
      </c>
      <c r="D36" s="496" t="inlineStr">
        <is>
          <t>MAR</t>
        </is>
      </c>
      <c r="E36" s="496" t="inlineStr">
        <is>
          <t>ABR</t>
        </is>
      </c>
      <c r="F36" s="496" t="inlineStr">
        <is>
          <t>MAY</t>
        </is>
      </c>
      <c r="G36" s="496" t="inlineStr">
        <is>
          <t>JUN</t>
        </is>
      </c>
      <c r="H36" s="496" t="inlineStr">
        <is>
          <t>JUL</t>
        </is>
      </c>
      <c r="I36" s="496" t="inlineStr">
        <is>
          <t>AGO</t>
        </is>
      </c>
      <c r="J36" s="496" t="inlineStr">
        <is>
          <t>SEP</t>
        </is>
      </c>
      <c r="K36" s="496" t="inlineStr">
        <is>
          <t>OCT</t>
        </is>
      </c>
      <c r="L36" s="496" t="inlineStr">
        <is>
          <t>NOV</t>
        </is>
      </c>
      <c r="M36" s="496" t="inlineStr">
        <is>
          <t>DIC</t>
        </is>
      </c>
      <c r="N36" s="496" t="inlineStr">
        <is>
          <t>TEND.</t>
        </is>
      </c>
    </row>
    <row r="37">
      <c r="A37" s="497" t="inlineStr">
        <is>
          <t>► FAMILIA</t>
        </is>
      </c>
      <c r="B37" s="498" t="n"/>
      <c r="C37" s="498" t="n"/>
      <c r="D37" s="498" t="n"/>
      <c r="E37" s="498" t="n"/>
      <c r="F37" s="498" t="n"/>
      <c r="G37" s="498" t="n"/>
      <c r="H37" s="498" t="n"/>
      <c r="I37" s="498" t="n"/>
      <c r="J37" s="498" t="n"/>
      <c r="K37" s="498" t="n"/>
      <c r="L37" s="498" t="n"/>
      <c r="M37" s="498" t="n"/>
      <c r="N37" s="498" t="n"/>
    </row>
    <row r="38">
      <c r="A38" s="479" t="inlineStr">
        <is>
          <t xml:space="preserve">  Ingresos</t>
        </is>
      </c>
      <c r="B38" s="499">
        <f>IFERROR(INDIRECT("'Enero 2026'!D26")/PRESUPUESTO!B14,"-")</f>
        <v/>
      </c>
      <c r="C38" s="499">
        <f>IFERROR(INDIRECT("'Febrero 2026'!D26")/PRESUPUESTO!C14,"-")</f>
        <v/>
      </c>
      <c r="D38" s="499">
        <f>IFERROR(INDIRECT("'Marzo 2026'!D26")/PRESUPUESTO!D14,"-")</f>
        <v/>
      </c>
      <c r="E38" s="499">
        <f>IFERROR(INDIRECT("'Abril 2026'!D26")/PRESUPUESTO!E14,"-")</f>
        <v/>
      </c>
      <c r="F38" s="499">
        <f>IFERROR(INDIRECT("'Mayo 2026'!D26")/PRESUPUESTO!F14,"-")</f>
        <v/>
      </c>
      <c r="G38" s="499">
        <f>IFERROR(INDIRECT("'Junio 2026'!D26")/PRESUPUESTO!G14,"-")</f>
        <v/>
      </c>
      <c r="H38" s="499">
        <f>IFERROR(INDIRECT("'Julio 2026'!D26")/PRESUPUESTO!H14,"-")</f>
        <v/>
      </c>
      <c r="I38" s="499">
        <f>IFERROR(INDIRECT("'Agosto 2026'!D26")/PRESUPUESTO!I14,"-")</f>
        <v/>
      </c>
      <c r="J38" s="499">
        <f>IFERROR(INDIRECT("'Septiembre 2026'!D26")/PRESUPUESTO!J14,"-")</f>
        <v/>
      </c>
      <c r="K38" s="499">
        <f>IFERROR(INDIRECT("'Octubre 2026'!D26")/PRESUPUESTO!K14,"-")</f>
        <v/>
      </c>
      <c r="L38" s="499">
        <f>IFERROR(INDIRECT("'Noviembre 2026'!D26")/PRESUPUESTO!L14,"-")</f>
        <v/>
      </c>
      <c r="M38" s="499">
        <f>IFERROR(INDIRECT("'Diciembre 2026'!D26")/PRESUPUESTO!M14,"-")</f>
        <v/>
      </c>
      <c r="N38" s="479" t="n"/>
    </row>
    <row r="39">
      <c r="A39" s="479" t="inlineStr">
        <is>
          <t xml:space="preserve">  Egresos</t>
        </is>
      </c>
      <c r="B39" s="499">
        <f>IFERROR((INDIRECT("'Enero 2026'!C72")+INDIRECT("'Enero 2026'!C73"))/PRESUPUESTO!B50,"-")</f>
        <v/>
      </c>
      <c r="C39" s="499">
        <f>IFERROR((INDIRECT("'Febrero 2026'!C72")+INDIRECT("'Febrero 2026'!C73"))/PRESUPUESTO!C50,"-")</f>
        <v/>
      </c>
      <c r="D39" s="499">
        <f>IFERROR((INDIRECT("'Marzo 2026'!C72")+INDIRECT("'Marzo 2026'!C73"))/PRESUPUESTO!D50,"-")</f>
        <v/>
      </c>
      <c r="E39" s="499">
        <f>IFERROR((INDIRECT("'Abril 2026'!C72")+INDIRECT("'Abril 2026'!C73"))/PRESUPUESTO!E50,"-")</f>
        <v/>
      </c>
      <c r="F39" s="499">
        <f>IFERROR((INDIRECT("'Mayo 2026'!C72")+INDIRECT("'Mayo 2026'!C73"))/PRESUPUESTO!F50,"-")</f>
        <v/>
      </c>
      <c r="G39" s="499">
        <f>IFERROR((INDIRECT("'Junio 2026'!C72")+INDIRECT("'Junio 2026'!C73"))/PRESUPUESTO!G50,"-")</f>
        <v/>
      </c>
      <c r="H39" s="499">
        <f>IFERROR((INDIRECT("'Julio 2026'!C72")+INDIRECT("'Julio 2026'!C73"))/PRESUPUESTO!H50,"-")</f>
        <v/>
      </c>
      <c r="I39" s="499">
        <f>IFERROR((INDIRECT("'Agosto 2026'!C72")+INDIRECT("'Agosto 2026'!C73"))/PRESUPUESTO!I50,"-")</f>
        <v/>
      </c>
      <c r="J39" s="499">
        <f>IFERROR((INDIRECT("'Septiembre 2026'!C72")+INDIRECT("'Septiembre 2026'!C73"))/PRESUPUESTO!J50,"-")</f>
        <v/>
      </c>
      <c r="K39" s="499">
        <f>IFERROR((INDIRECT("'Octubre 2026'!C72")+INDIRECT("'Octubre 2026'!C73"))/PRESUPUESTO!K50,"-")</f>
        <v/>
      </c>
      <c r="L39" s="499">
        <f>IFERROR((INDIRECT("'Noviembre 2026'!C72")+INDIRECT("'Noviembre 2026'!C73"))/PRESUPUESTO!L50,"-")</f>
        <v/>
      </c>
      <c r="M39" s="499">
        <f>IFERROR((INDIRECT("'Diciembre 2026'!C72")+INDIRECT("'Diciembre 2026'!C73"))/PRESUPUESTO!M50,"-")</f>
        <v/>
      </c>
      <c r="N39" s="479" t="n"/>
    </row>
    <row r="40">
      <c r="A40" s="483" t="inlineStr">
        <is>
          <t xml:space="preserve">  Balance</t>
        </is>
      </c>
      <c r="B40" s="500">
        <f>IF(OR(C38="-",C39="-"),"-",IF(AND(C38&gt;=1,C39&lt;=1),"🟢",IF(AND(C38&gt;=0.95,C39&lt;=1.05),"🟡","🔴")))</f>
        <v/>
      </c>
      <c r="C40" s="500">
        <f>IF(OR(D38="-",D39="-"),"-",IF(AND(D38&gt;=1,D39&lt;=1),"🟢",IF(AND(D38&gt;=0.95,D39&lt;=1.05),"🟡","🔴")))</f>
        <v/>
      </c>
      <c r="D40" s="500">
        <f>IF(OR(E38="-",E39="-"),"-",IF(AND(E38&gt;=1,E39&lt;=1),"🟢",IF(AND(E38&gt;=0.95,E39&lt;=1.05),"🟡","🔴")))</f>
        <v/>
      </c>
      <c r="E40" s="500">
        <f>IF(OR(F38="-",F39="-"),"-",IF(AND(F38&gt;=1,F39&lt;=1),"🟢",IF(AND(F38&gt;=0.95,F39&lt;=1.05),"🟡","🔴")))</f>
        <v/>
      </c>
      <c r="F40" s="500">
        <f>IF(OR(G38="-",G39="-"),"-",IF(AND(G38&gt;=1,G39&lt;=1),"🟢",IF(AND(G38&gt;=0.95,G39&lt;=1.05),"🟡","🔴")))</f>
        <v/>
      </c>
      <c r="G40" s="500">
        <f>IF(OR(H38="-",H39="-"),"-",IF(AND(H38&gt;=1,H39&lt;=1),"🟢",IF(AND(H38&gt;=0.95,H39&lt;=1.05),"🟡","🔴")))</f>
        <v/>
      </c>
      <c r="H40" s="500">
        <f>IF(OR(I38="-",I39="-"),"-",IF(AND(I38&gt;=1,I39&lt;=1),"🟢",IF(AND(I38&gt;=0.95,I39&lt;=1.05),"🟡","🔴")))</f>
        <v/>
      </c>
      <c r="I40" s="500">
        <f>IF(OR(J38="-",J39="-"),"-",IF(AND(J38&gt;=1,J39&lt;=1),"🟢",IF(AND(J38&gt;=0.95,J39&lt;=1.05),"🟡","🔴")))</f>
        <v/>
      </c>
      <c r="J40" s="500">
        <f>IF(OR(K38="-",K39="-"),"-",IF(AND(K38&gt;=1,K39&lt;=1),"🟢",IF(AND(K38&gt;=0.95,K39&lt;=1.05),"🟡","🔴")))</f>
        <v/>
      </c>
      <c r="K40" s="500">
        <f>IF(OR(L38="-",L39="-"),"-",IF(AND(L38&gt;=1,L39&lt;=1),"🟢",IF(AND(L38&gt;=0.95,L39&lt;=1.05),"🟡","🔴")))</f>
        <v/>
      </c>
      <c r="L40" s="500">
        <f>IF(OR(M38="-",M39="-"),"-",IF(AND(M38&gt;=1,M39&lt;=1),"🟢",IF(AND(M38&gt;=0.95,M39&lt;=1.05),"🟡","🔴")))</f>
        <v/>
      </c>
      <c r="M40" s="500">
        <f>IF(OR(N38="-",N39="-"),"-",IF(AND(N38&gt;=1,N39&lt;=1),"🟢",IF(AND(N38&gt;=0.95,N39&lt;=1.05),"🟡","🔴")))</f>
        <v/>
      </c>
      <c r="N40" s="479" t="n"/>
    </row>
    <row r="41">
      <c r="A41" s="501" t="inlineStr">
        <is>
          <t>► NEUROTEA</t>
        </is>
      </c>
      <c r="B41" s="502" t="n"/>
      <c r="C41" s="502" t="n"/>
      <c r="D41" s="502" t="n"/>
      <c r="E41" s="502" t="n"/>
      <c r="F41" s="502" t="n"/>
      <c r="G41" s="502" t="n"/>
      <c r="H41" s="502" t="n"/>
      <c r="I41" s="502" t="n"/>
      <c r="J41" s="502" t="n"/>
      <c r="K41" s="502" t="n"/>
      <c r="L41" s="502" t="n"/>
      <c r="M41" s="502" t="n"/>
      <c r="N41" s="502" t="n"/>
    </row>
    <row r="42">
      <c r="A42" s="479" t="inlineStr">
        <is>
          <t xml:space="preserve">  Ingresos</t>
        </is>
      </c>
      <c r="B42" s="499">
        <f>IFERROR(INDIRECT("'Enero 2026'!I15")/PRESUPUESTO!B59,"-")</f>
        <v/>
      </c>
      <c r="C42" s="499">
        <f>IFERROR(INDIRECT("'Febrero 2026'!I15")/PRESUPUESTO!C59,"-")</f>
        <v/>
      </c>
      <c r="D42" s="499">
        <f>IFERROR(INDIRECT("'Marzo 2026'!I15")/PRESUPUESTO!D59,"-")</f>
        <v/>
      </c>
      <c r="E42" s="499">
        <f>IFERROR(INDIRECT("'Abril 2026'!I15")/PRESUPUESTO!E59,"-")</f>
        <v/>
      </c>
      <c r="F42" s="499">
        <f>IFERROR(INDIRECT("'Mayo 2026'!I15")/PRESUPUESTO!F59,"-")</f>
        <v/>
      </c>
      <c r="G42" s="499">
        <f>IFERROR(INDIRECT("'Junio 2026'!I15")/PRESUPUESTO!G59,"-")</f>
        <v/>
      </c>
      <c r="H42" s="499">
        <f>IFERROR(INDIRECT("'Julio 2026'!I15")/PRESUPUESTO!H59,"-")</f>
        <v/>
      </c>
      <c r="I42" s="499">
        <f>IFERROR(INDIRECT("'Agosto 2026'!I15")/PRESUPUESTO!I59,"-")</f>
        <v/>
      </c>
      <c r="J42" s="499">
        <f>IFERROR(INDIRECT("'Septiembre 2026'!I15")/PRESUPUESTO!J59,"-")</f>
        <v/>
      </c>
      <c r="K42" s="499">
        <f>IFERROR(INDIRECT("'Octubre 2026'!I15")/PRESUPUESTO!K59,"-")</f>
        <v/>
      </c>
      <c r="L42" s="499">
        <f>IFERROR(INDIRECT("'Noviembre 2026'!I15")/PRESUPUESTO!L59,"-")</f>
        <v/>
      </c>
      <c r="M42" s="499">
        <f>IFERROR(INDIRECT("'Diciembre 2026'!I15")/PRESUPUESTO!M59,"-")</f>
        <v/>
      </c>
      <c r="N42" s="479" t="n"/>
    </row>
    <row r="43">
      <c r="A43" s="479" t="inlineStr">
        <is>
          <t xml:space="preserve">  Egresos</t>
        </is>
      </c>
      <c r="B43" s="499">
        <f>IFERROR((INDIRECT("'Enero 2026'!I64")+INDIRECT("'Enero 2026'!I65"))/PRESUPUESTO!B91,"-")</f>
        <v/>
      </c>
      <c r="C43" s="499">
        <f>IFERROR((INDIRECT("'Febrero 2026'!I64")+INDIRECT("'Febrero 2026'!I65"))/PRESUPUESTO!C91,"-")</f>
        <v/>
      </c>
      <c r="D43" s="499">
        <f>IFERROR((INDIRECT("'Marzo 2026'!I64")+INDIRECT("'Marzo 2026'!I65"))/PRESUPUESTO!D91,"-")</f>
        <v/>
      </c>
      <c r="E43" s="499">
        <f>IFERROR((INDIRECT("'Abril 2026'!I64")+INDIRECT("'Abril 2026'!I65"))/PRESUPUESTO!E91,"-")</f>
        <v/>
      </c>
      <c r="F43" s="499">
        <f>IFERROR((INDIRECT("'Mayo 2026'!I64")+INDIRECT("'Mayo 2026'!I65"))/PRESUPUESTO!F91,"-")</f>
        <v/>
      </c>
      <c r="G43" s="499">
        <f>IFERROR((INDIRECT("'Junio 2026'!I64")+INDIRECT("'Junio 2026'!I65"))/PRESUPUESTO!G91,"-")</f>
        <v/>
      </c>
      <c r="H43" s="499">
        <f>IFERROR((INDIRECT("'Julio 2026'!I64")+INDIRECT("'Julio 2026'!I65"))/PRESUPUESTO!H91,"-")</f>
        <v/>
      </c>
      <c r="I43" s="499">
        <f>IFERROR((INDIRECT("'Agosto 2026'!I64")+INDIRECT("'Agosto 2026'!I65"))/PRESUPUESTO!I91,"-")</f>
        <v/>
      </c>
      <c r="J43" s="499">
        <f>IFERROR((INDIRECT("'Septiembre 2026'!I64")+INDIRECT("'Septiembre 2026'!I65"))/PRESUPUESTO!J91,"-")</f>
        <v/>
      </c>
      <c r="K43" s="499">
        <f>IFERROR((INDIRECT("'Octubre 2026'!I64")+INDIRECT("'Octubre 2026'!I65"))/PRESUPUESTO!K91,"-")</f>
        <v/>
      </c>
      <c r="L43" s="499">
        <f>IFERROR((INDIRECT("'Noviembre 2026'!I64")+INDIRECT("'Noviembre 2026'!I65"))/PRESUPUESTO!L91,"-")</f>
        <v/>
      </c>
      <c r="M43" s="499">
        <f>IFERROR((INDIRECT("'Diciembre 2026'!I64")+INDIRECT("'Diciembre 2026'!I65"))/PRESUPUESTO!M91,"-")</f>
        <v/>
      </c>
      <c r="N43" s="479" t="n"/>
    </row>
    <row r="44">
      <c r="A44" s="483" t="inlineStr">
        <is>
          <t xml:space="preserve">  Balance</t>
        </is>
      </c>
      <c r="B44" s="500">
        <f>IF(OR(C42="-",C43="-"),"-",IF(AND(C42&gt;=1,C43&lt;=1),"🟢",IF(AND(C42&gt;=0.95,C43&lt;=1.05),"🟡","🔴")))</f>
        <v/>
      </c>
      <c r="C44" s="500">
        <f>IF(OR(D42="-",D43="-"),"-",IF(AND(D42&gt;=1,D43&lt;=1),"🟢",IF(AND(D42&gt;=0.95,D43&lt;=1.05),"🟡","🔴")))</f>
        <v/>
      </c>
      <c r="D44" s="500">
        <f>IF(OR(E42="-",E43="-"),"-",IF(AND(E42&gt;=1,E43&lt;=1),"🟢",IF(AND(E42&gt;=0.95,E43&lt;=1.05),"🟡","🔴")))</f>
        <v/>
      </c>
      <c r="E44" s="500">
        <f>IF(OR(F42="-",F43="-"),"-",IF(AND(F42&gt;=1,F43&lt;=1),"🟢",IF(AND(F42&gt;=0.95,F43&lt;=1.05),"🟡","🔴")))</f>
        <v/>
      </c>
      <c r="F44" s="500">
        <f>IF(OR(G42="-",G43="-"),"-",IF(AND(G42&gt;=1,G43&lt;=1),"🟢",IF(AND(G42&gt;=0.95,G43&lt;=1.05),"🟡","🔴")))</f>
        <v/>
      </c>
      <c r="G44" s="500">
        <f>IF(OR(H42="-",H43="-"),"-",IF(AND(H42&gt;=1,H43&lt;=1),"🟢",IF(AND(H42&gt;=0.95,H43&lt;=1.05),"🟡","🔴")))</f>
        <v/>
      </c>
      <c r="H44" s="500">
        <f>IF(OR(I42="-",I43="-"),"-",IF(AND(I42&gt;=1,I43&lt;=1),"🟢",IF(AND(I42&gt;=0.95,I43&lt;=1.05),"🟡","🔴")))</f>
        <v/>
      </c>
      <c r="I44" s="500">
        <f>IF(OR(J42="-",J43="-"),"-",IF(AND(J42&gt;=1,J43&lt;=1),"🟢",IF(AND(J42&gt;=0.95,J43&lt;=1.05),"🟡","🔴")))</f>
        <v/>
      </c>
      <c r="J44" s="500">
        <f>IF(OR(K42="-",K43="-"),"-",IF(AND(K42&gt;=1,K43&lt;=1),"🟢",IF(AND(K42&gt;=0.95,K43&lt;=1.05),"🟡","🔴")))</f>
        <v/>
      </c>
      <c r="K44" s="500">
        <f>IF(OR(L42="-",L43="-"),"-",IF(AND(L42&gt;=1,L43&lt;=1),"🟢",IF(AND(L42&gt;=0.95,L43&lt;=1.05),"🟡","🔴")))</f>
        <v/>
      </c>
      <c r="L44" s="500">
        <f>IF(OR(M42="-",M43="-"),"-",IF(AND(M42&gt;=1,M43&lt;=1),"🟢",IF(AND(M42&gt;=0.95,M43&lt;=1.05),"🟡","🔴")))</f>
        <v/>
      </c>
      <c r="M44" s="500">
        <f>IF(OR(N42="-",N43="-"),"-",IF(AND(N42&gt;=1,N43&lt;=1),"🟢",IF(AND(N42&gt;=0.95,N43&lt;=1.05),"🟡","🔴")))</f>
        <v/>
      </c>
      <c r="N44" s="479" t="n"/>
    </row>
    <row r="45">
      <c r="A45" s="473" t="n"/>
      <c r="B45" s="473" t="n"/>
      <c r="C45" s="473" t="n"/>
      <c r="D45" s="473" t="n"/>
      <c r="E45" s="473" t="n"/>
      <c r="F45" s="473" t="n"/>
      <c r="G45" s="473" t="n"/>
      <c r="H45" s="473" t="n"/>
      <c r="I45" s="473" t="n"/>
      <c r="J45" s="473" t="n"/>
      <c r="K45" s="473" t="n"/>
      <c r="L45" s="473" t="n"/>
      <c r="M45" s="473" t="n"/>
      <c r="N45" s="473" t="n"/>
    </row>
    <row r="46">
      <c r="A46" s="503" t="inlineStr">
        <is>
          <t>Leyenda: Ingresos 🟢≥100% 🟡95-99% 🔴&lt;95% | Egresos 🟢≤100% 🟡101-105% 🔴&gt;105% | Balance: combina ambos</t>
        </is>
      </c>
    </row>
    <row r="47">
      <c r="A47" s="473" t="n"/>
      <c r="B47" s="473" t="n"/>
      <c r="C47" s="473" t="n"/>
      <c r="D47" s="473" t="n"/>
      <c r="E47" s="473" t="n"/>
      <c r="F47" s="473" t="n"/>
      <c r="G47" s="473" t="n"/>
      <c r="H47" s="473" t="n"/>
      <c r="I47" s="473" t="n"/>
      <c r="J47" s="473" t="n"/>
      <c r="K47" s="473" t="n"/>
      <c r="L47" s="473" t="n"/>
      <c r="M47" s="473" t="n"/>
      <c r="N47" s="473" t="n"/>
    </row>
    <row r="48">
      <c r="A48" s="473" t="n"/>
      <c r="B48" s="473" t="n"/>
      <c r="C48" s="473" t="n"/>
      <c r="D48" s="473" t="n"/>
      <c r="E48" s="473" t="n"/>
      <c r="F48" s="473" t="n"/>
      <c r="G48" s="473" t="n"/>
      <c r="H48" s="473" t="n"/>
      <c r="I48" s="473" t="n"/>
      <c r="J48" s="473" t="n"/>
      <c r="K48" s="473" t="n"/>
      <c r="L48" s="473" t="n"/>
      <c r="M48" s="473" t="n"/>
      <c r="N48" s="473" t="n"/>
    </row>
    <row r="49">
      <c r="A49" s="473" t="n"/>
      <c r="B49" s="473" t="n"/>
      <c r="C49" s="473" t="n"/>
      <c r="D49" s="473" t="n"/>
      <c r="E49" s="473" t="n"/>
      <c r="F49" s="473" t="n"/>
      <c r="G49" s="473" t="n"/>
      <c r="H49" s="473" t="n"/>
      <c r="I49" s="473" t="n"/>
      <c r="J49" s="473" t="n"/>
      <c r="K49" s="473" t="n"/>
      <c r="L49" s="473" t="n"/>
      <c r="M49" s="473" t="n"/>
      <c r="N49" s="473" t="n"/>
    </row>
    <row r="50">
      <c r="A50" s="473" t="n"/>
      <c r="B50" s="473" t="n"/>
      <c r="C50" s="473" t="n"/>
      <c r="D50" s="473" t="n"/>
      <c r="E50" s="473" t="n"/>
      <c r="F50" s="473" t="n"/>
      <c r="G50" s="473" t="n"/>
      <c r="H50" s="473" t="n"/>
      <c r="I50" s="473" t="n"/>
      <c r="J50" s="473" t="n"/>
      <c r="K50" s="473" t="n"/>
      <c r="L50" s="473" t="n"/>
      <c r="M50" s="473" t="n"/>
      <c r="N50" s="473" t="n"/>
    </row>
    <row r="51">
      <c r="A51" s="473" t="n"/>
      <c r="B51" s="473" t="n"/>
      <c r="C51" s="473" t="n"/>
      <c r="D51" s="473" t="n"/>
      <c r="E51" s="473" t="n"/>
      <c r="F51" s="473" t="n"/>
      <c r="G51" s="473" t="n"/>
      <c r="H51" s="473" t="n"/>
      <c r="I51" s="473" t="n"/>
      <c r="J51" s="473" t="n"/>
      <c r="K51" s="473" t="n"/>
      <c r="L51" s="473" t="n"/>
      <c r="M51" s="473" t="n"/>
      <c r="N51" s="473" t="n"/>
    </row>
    <row r="52">
      <c r="A52" s="473" t="n"/>
      <c r="B52" s="473" t="n"/>
      <c r="C52" s="473" t="n"/>
      <c r="D52" s="473" t="n"/>
      <c r="E52" s="473" t="n"/>
      <c r="F52" s="473" t="n"/>
      <c r="G52" s="473" t="n"/>
      <c r="H52" s="473" t="n"/>
      <c r="I52" s="473" t="n"/>
      <c r="J52" s="473" t="n"/>
      <c r="K52" s="473" t="n"/>
      <c r="L52" s="473" t="n"/>
      <c r="M52" s="473" t="n"/>
      <c r="N52" s="473" t="n"/>
    </row>
    <row r="53">
      <c r="A53" s="473" t="n"/>
      <c r="B53" s="473" t="n"/>
      <c r="C53" s="473" t="n"/>
      <c r="D53" s="473" t="n"/>
      <c r="E53" s="473" t="n"/>
      <c r="F53" s="473" t="n"/>
      <c r="G53" s="473" t="n"/>
      <c r="H53" s="473" t="n"/>
      <c r="I53" s="473" t="n"/>
      <c r="J53" s="473" t="n"/>
      <c r="K53" s="473" t="n"/>
      <c r="L53" s="473" t="n"/>
      <c r="M53" s="473" t="n"/>
      <c r="N53" s="473" t="n"/>
    </row>
    <row r="54">
      <c r="A54" s="473" t="n"/>
      <c r="B54" s="473" t="n"/>
      <c r="C54" s="473" t="n"/>
      <c r="D54" s="473" t="n"/>
      <c r="E54" s="473" t="n"/>
      <c r="F54" s="473" t="n"/>
      <c r="G54" s="473" t="n"/>
      <c r="H54" s="473" t="n"/>
      <c r="I54" s="473" t="n"/>
      <c r="J54" s="473" t="n"/>
      <c r="K54" s="473" t="n"/>
      <c r="L54" s="473" t="n"/>
      <c r="M54" s="473" t="n"/>
      <c r="N54" s="473" t="n"/>
    </row>
    <row r="55">
      <c r="A55" s="473" t="n"/>
      <c r="B55" s="473" t="n"/>
      <c r="C55" s="473" t="n"/>
      <c r="D55" s="473" t="n"/>
      <c r="E55" s="473" t="n"/>
      <c r="F55" s="473" t="n"/>
      <c r="G55" s="473" t="n"/>
      <c r="H55" s="473" t="n"/>
      <c r="I55" s="473" t="n"/>
      <c r="J55" s="473" t="n"/>
      <c r="K55" s="473" t="n"/>
      <c r="L55" s="473" t="n"/>
      <c r="M55" s="473" t="n"/>
      <c r="N55" s="473" t="n"/>
    </row>
    <row r="56">
      <c r="A56" s="473" t="n"/>
      <c r="B56" s="473" t="n"/>
      <c r="C56" s="473" t="n"/>
      <c r="D56" s="473" t="n"/>
      <c r="E56" s="473" t="n"/>
      <c r="F56" s="473" t="n"/>
      <c r="G56" s="473" t="n"/>
      <c r="H56" s="473" t="n"/>
      <c r="I56" s="473" t="n"/>
      <c r="J56" s="473" t="n"/>
      <c r="K56" s="473" t="n"/>
      <c r="L56" s="473" t="n"/>
      <c r="M56" s="473" t="n"/>
      <c r="N56" s="473" t="n"/>
    </row>
    <row r="57">
      <c r="A57" s="473" t="n"/>
      <c r="B57" s="473" t="n"/>
      <c r="C57" s="473" t="n"/>
      <c r="D57" s="473" t="n"/>
      <c r="E57" s="473" t="n"/>
      <c r="F57" s="473" t="n"/>
      <c r="G57" s="473" t="n"/>
      <c r="H57" s="473" t="n"/>
      <c r="I57" s="473" t="n"/>
      <c r="J57" s="473" t="n"/>
      <c r="K57" s="473" t="n"/>
      <c r="L57" s="473" t="n"/>
      <c r="M57" s="473" t="n"/>
      <c r="N57" s="473" t="n"/>
    </row>
    <row r="58">
      <c r="A58" s="473" t="n"/>
      <c r="B58" s="473" t="n"/>
      <c r="C58" s="473" t="n"/>
      <c r="D58" s="473" t="n"/>
      <c r="E58" s="473" t="n"/>
      <c r="F58" s="473" t="n"/>
      <c r="G58" s="473" t="n"/>
      <c r="H58" s="473" t="n"/>
      <c r="I58" s="473" t="n"/>
      <c r="J58" s="473" t="n"/>
      <c r="K58" s="473" t="n"/>
      <c r="L58" s="473" t="n"/>
      <c r="M58" s="473" t="n"/>
      <c r="N58" s="473" t="n"/>
    </row>
    <row r="59">
      <c r="A59" s="473" t="n"/>
      <c r="B59" s="473" t="n"/>
      <c r="C59" s="473" t="n"/>
      <c r="D59" s="473" t="n"/>
      <c r="E59" s="473" t="n"/>
      <c r="F59" s="473" t="n"/>
      <c r="G59" s="473" t="n"/>
      <c r="H59" s="473" t="n"/>
      <c r="I59" s="473" t="n"/>
      <c r="J59" s="473" t="n"/>
      <c r="K59" s="473" t="n"/>
      <c r="L59" s="473" t="n"/>
      <c r="M59" s="473" t="n"/>
      <c r="N59" s="473" t="n"/>
    </row>
  </sheetData>
  <mergeCells count="25">
    <mergeCell ref="H28:K28"/>
    <mergeCell ref="H27:K27"/>
    <mergeCell ref="H17:J17"/>
    <mergeCell ref="A1:N1"/>
    <mergeCell ref="H16:J16"/>
    <mergeCell ref="H30:K30"/>
    <mergeCell ref="H22:J22"/>
    <mergeCell ref="D27:E27"/>
    <mergeCell ref="G13:K13"/>
    <mergeCell ref="H29:K29"/>
    <mergeCell ref="A46:N46"/>
    <mergeCell ref="H15:J15"/>
    <mergeCell ref="H24:J24"/>
    <mergeCell ref="H18:J18"/>
    <mergeCell ref="H31:K31"/>
    <mergeCell ref="H23:J23"/>
    <mergeCell ref="A5:E5"/>
    <mergeCell ref="G5:K5"/>
    <mergeCell ref="G26:K26"/>
    <mergeCell ref="A20:E20"/>
    <mergeCell ref="G20:K20"/>
    <mergeCell ref="A35:N35"/>
    <mergeCell ref="H32:K32"/>
    <mergeCell ref="A13:E13"/>
    <mergeCell ref="H21:J21"/>
  </mergeCells>
  <dataValidations count="2">
    <dataValidation sqref="B3" showDropDown="0" showInputMessage="0" showErrorMessage="0" allowBlank="0" errorTitle="Mes inválido" error="Seleccioná un mes de la lista" type="list" errorStyle="stop" operator="between">
      <formula1>"Enero 2026,Febrero 2026,Marzo 2026,Abril 2026,Mayo 2026,Junio 2026,Julio 2026,Agosto 2026,Septiembre 2026,Octubre 2026,Noviembre 2026,Diciembre 2026"</formula1>
      <formula2>0</formula2>
    </dataValidation>
    <dataValidation sqref="B3" showDropDown="0" showInputMessage="0" showErrorMessage="0" allowBlank="0" errorTitle="Mes inválido" error="Selecciona un mes válido" type="list">
      <formula1>"Enero 2026,Febrero 2026,Marzo 2026,Abril 2026,Mayo 2026,Junio 2026,Julio 2026,Agosto 2026,Septiembre 2026,Octubre 2026,Noviembre 2026,Diciembre 2026"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cols>
    <col width="35" customWidth="1" style="221" min="1" max="1"/>
    <col width="12" customWidth="1" style="221" min="2" max="2"/>
    <col width="12" customWidth="1" style="221" min="3" max="3"/>
    <col width="12" customWidth="1" style="221" min="4" max="4"/>
    <col width="12" customWidth="1" style="221" min="5" max="5"/>
    <col width="12" customWidth="1" style="221" min="6" max="6"/>
    <col width="12" customWidth="1" style="221" min="7" max="7"/>
    <col width="12" customWidth="1" style="221" min="8" max="8"/>
    <col width="12" customWidth="1" style="221" min="9" max="9"/>
    <col width="12" customWidth="1" style="221" min="10" max="10"/>
    <col width="12" customWidth="1" style="221" min="11" max="11"/>
    <col width="12" customWidth="1" style="221" min="12" max="12"/>
    <col width="12" customWidth="1" style="221" min="13" max="13"/>
    <col width="12" customWidth="1" style="221" min="14" max="14"/>
  </cols>
  <sheetData>
    <row r="1">
      <c r="A1" s="440" t="inlineStr">
        <is>
          <t>📊 PRESUPUESTO ANUAL 2026</t>
        </is>
      </c>
    </row>
    <row r="2">
      <c r="A2" s="441" t="inlineStr">
        <is>
          <t>Cargar los montos previstos para cada mes. El sistema comparará automáticamente con los gastos reales.</t>
        </is>
      </c>
    </row>
    <row r="4">
      <c r="A4" s="442" t="inlineStr">
        <is>
          <t>CONCEPTO</t>
        </is>
      </c>
      <c r="B4" s="443" t="inlineStr">
        <is>
          <t>ENE</t>
        </is>
      </c>
      <c r="C4" s="443" t="inlineStr">
        <is>
          <t>FEB</t>
        </is>
      </c>
      <c r="D4" s="443" t="inlineStr">
        <is>
          <t>MAR</t>
        </is>
      </c>
      <c r="E4" s="443" t="inlineStr">
        <is>
          <t>ABR</t>
        </is>
      </c>
      <c r="F4" s="443" t="inlineStr">
        <is>
          <t>MAY</t>
        </is>
      </c>
      <c r="G4" s="443" t="inlineStr">
        <is>
          <t>JUN</t>
        </is>
      </c>
      <c r="H4" s="443" t="inlineStr">
        <is>
          <t>JUL</t>
        </is>
      </c>
      <c r="I4" s="443" t="inlineStr">
        <is>
          <t>AGO</t>
        </is>
      </c>
      <c r="J4" s="443" t="inlineStr">
        <is>
          <t>SEP</t>
        </is>
      </c>
      <c r="K4" s="443" t="inlineStr">
        <is>
          <t>OCT</t>
        </is>
      </c>
      <c r="L4" s="443" t="inlineStr">
        <is>
          <t>NOV</t>
        </is>
      </c>
      <c r="M4" s="443" t="inlineStr">
        <is>
          <t>DIC</t>
        </is>
      </c>
      <c r="N4" s="442" t="inlineStr">
        <is>
          <t>TOTAL AÑO</t>
        </is>
      </c>
    </row>
    <row r="5">
      <c r="A5" s="444" t="inlineStr">
        <is>
          <t>═══ PRESUPUESTO FAMILIA ═══</t>
        </is>
      </c>
      <c r="B5" s="445" t="n"/>
      <c r="C5" s="445" t="n"/>
      <c r="D5" s="445" t="n"/>
      <c r="E5" s="445" t="n"/>
      <c r="F5" s="445" t="n"/>
      <c r="G5" s="445" t="n"/>
      <c r="H5" s="445" t="n"/>
      <c r="I5" s="445" t="n"/>
      <c r="J5" s="445" t="n"/>
      <c r="K5" s="445" t="n"/>
      <c r="L5" s="445" t="n"/>
      <c r="M5" s="445" t="n"/>
      <c r="N5" s="446" t="n"/>
    </row>
    <row r="6">
      <c r="A6" s="447" t="inlineStr">
        <is>
          <t>► INGRESOS FAMILIA</t>
        </is>
      </c>
      <c r="B6" s="448" t="n"/>
      <c r="C6" s="448" t="n"/>
      <c r="D6" s="448" t="n"/>
      <c r="E6" s="448" t="n"/>
      <c r="F6" s="448" t="n"/>
      <c r="G6" s="448" t="n"/>
      <c r="H6" s="448" t="n"/>
      <c r="I6" s="448" t="n"/>
      <c r="J6" s="448" t="n"/>
      <c r="K6" s="448" t="n"/>
      <c r="L6" s="448" t="n"/>
      <c r="M6" s="448" t="n"/>
      <c r="N6" s="448" t="n"/>
    </row>
    <row r="7">
      <c r="A7" s="449" t="inlineStr">
        <is>
          <t>Salario Marco</t>
        </is>
      </c>
      <c r="B7" s="450" t="n">
        <v>0</v>
      </c>
      <c r="C7" s="450" t="n">
        <v>0</v>
      </c>
      <c r="D7" s="450" t="n">
        <v>0</v>
      </c>
      <c r="E7" s="450" t="n">
        <v>0</v>
      </c>
      <c r="F7" s="450" t="n">
        <v>0</v>
      </c>
      <c r="G7" s="450" t="n">
        <v>0</v>
      </c>
      <c r="H7" s="450" t="n">
        <v>0</v>
      </c>
      <c r="I7" s="450" t="n">
        <v>0</v>
      </c>
      <c r="J7" s="450" t="n">
        <v>0</v>
      </c>
      <c r="K7" s="450" t="n">
        <v>0</v>
      </c>
      <c r="L7" s="450" t="n">
        <v>0</v>
      </c>
      <c r="M7" s="450" t="n">
        <v>0</v>
      </c>
      <c r="N7" s="451">
        <f>SUM(B7:M7)</f>
        <v/>
      </c>
    </row>
    <row r="8">
      <c r="A8" s="449" t="inlineStr">
        <is>
          <t>Vacaciones Marco</t>
        </is>
      </c>
      <c r="B8" s="450" t="n">
        <v>0</v>
      </c>
      <c r="C8" s="450" t="n">
        <v>0</v>
      </c>
      <c r="D8" s="450" t="n">
        <v>0</v>
      </c>
      <c r="E8" s="450" t="n">
        <v>0</v>
      </c>
      <c r="F8" s="450" t="n">
        <v>0</v>
      </c>
      <c r="G8" s="450" t="n">
        <v>0</v>
      </c>
      <c r="H8" s="450" t="n">
        <v>0</v>
      </c>
      <c r="I8" s="450" t="n">
        <v>0</v>
      </c>
      <c r="J8" s="450" t="n">
        <v>0</v>
      </c>
      <c r="K8" s="450" t="n">
        <v>0</v>
      </c>
      <c r="L8" s="450" t="n">
        <v>0</v>
      </c>
      <c r="M8" s="450" t="n">
        <v>0</v>
      </c>
      <c r="N8" s="451">
        <f>SUM(B8:M8)</f>
        <v/>
      </c>
    </row>
    <row r="9">
      <c r="A9" s="449" t="inlineStr">
        <is>
          <t>Aguinaldo Marco</t>
        </is>
      </c>
      <c r="B9" s="450" t="n">
        <v>0</v>
      </c>
      <c r="C9" s="450" t="n">
        <v>0</v>
      </c>
      <c r="D9" s="450" t="n">
        <v>0</v>
      </c>
      <c r="E9" s="450" t="n">
        <v>0</v>
      </c>
      <c r="F9" s="450" t="n">
        <v>0</v>
      </c>
      <c r="G9" s="450" t="n">
        <v>0</v>
      </c>
      <c r="H9" s="450" t="n">
        <v>0</v>
      </c>
      <c r="I9" s="450" t="n">
        <v>0</v>
      </c>
      <c r="J9" s="450" t="n">
        <v>0</v>
      </c>
      <c r="K9" s="450" t="n">
        <v>0</v>
      </c>
      <c r="L9" s="450" t="n">
        <v>0</v>
      </c>
      <c r="M9" s="450" t="n">
        <v>0</v>
      </c>
      <c r="N9" s="451">
        <f>SUM(B9:M9)</f>
        <v/>
      </c>
    </row>
    <row r="10">
      <c r="A10" s="449" t="inlineStr">
        <is>
          <t>Viático Marco</t>
        </is>
      </c>
      <c r="B10" s="450" t="n">
        <v>0</v>
      </c>
      <c r="C10" s="450" t="n">
        <v>0</v>
      </c>
      <c r="D10" s="450" t="n">
        <v>0</v>
      </c>
      <c r="E10" s="450" t="n">
        <v>0</v>
      </c>
      <c r="F10" s="450" t="n">
        <v>0</v>
      </c>
      <c r="G10" s="450" t="n">
        <v>0</v>
      </c>
      <c r="H10" s="450" t="n">
        <v>0</v>
      </c>
      <c r="I10" s="450" t="n">
        <v>0</v>
      </c>
      <c r="J10" s="450" t="n">
        <v>0</v>
      </c>
      <c r="K10" s="450" t="n">
        <v>0</v>
      </c>
      <c r="L10" s="450" t="n">
        <v>0</v>
      </c>
      <c r="M10" s="450" t="n">
        <v>0</v>
      </c>
      <c r="N10" s="451">
        <f>SUM(B10:M10)</f>
        <v/>
      </c>
    </row>
    <row r="11">
      <c r="A11" s="449" t="inlineStr">
        <is>
          <t>Animador Bíblico</t>
        </is>
      </c>
      <c r="B11" s="450" t="n">
        <v>0</v>
      </c>
      <c r="C11" s="450" t="n">
        <v>0</v>
      </c>
      <c r="D11" s="450" t="n">
        <v>0</v>
      </c>
      <c r="E11" s="450" t="n">
        <v>0</v>
      </c>
      <c r="F11" s="450" t="n">
        <v>0</v>
      </c>
      <c r="G11" s="450" t="n">
        <v>0</v>
      </c>
      <c r="H11" s="450" t="n">
        <v>0</v>
      </c>
      <c r="I11" s="450" t="n">
        <v>0</v>
      </c>
      <c r="J11" s="450" t="n">
        <v>0</v>
      </c>
      <c r="K11" s="450" t="n">
        <v>0</v>
      </c>
      <c r="L11" s="450" t="n">
        <v>0</v>
      </c>
      <c r="M11" s="450" t="n">
        <v>0</v>
      </c>
      <c r="N11" s="451">
        <f>SUM(B11:M11)</f>
        <v/>
      </c>
    </row>
    <row r="12">
      <c r="A12" s="449" t="inlineStr">
        <is>
          <t>Otros Ingresos Marco</t>
        </is>
      </c>
      <c r="B12" s="450" t="n">
        <v>0</v>
      </c>
      <c r="C12" s="450" t="n">
        <v>0</v>
      </c>
      <c r="D12" s="450" t="n">
        <v>0</v>
      </c>
      <c r="E12" s="450" t="n">
        <v>0</v>
      </c>
      <c r="F12" s="450" t="n">
        <v>0</v>
      </c>
      <c r="G12" s="450" t="n">
        <v>0</v>
      </c>
      <c r="H12" s="450" t="n">
        <v>0</v>
      </c>
      <c r="I12" s="450" t="n">
        <v>0</v>
      </c>
      <c r="J12" s="450" t="n">
        <v>0</v>
      </c>
      <c r="K12" s="450" t="n">
        <v>0</v>
      </c>
      <c r="L12" s="450" t="n">
        <v>0</v>
      </c>
      <c r="M12" s="450" t="n">
        <v>0</v>
      </c>
      <c r="N12" s="451">
        <f>SUM(B12:M12)</f>
        <v/>
      </c>
    </row>
    <row r="13">
      <c r="A13" s="449" t="inlineStr">
        <is>
          <t>Honorarios Clara</t>
        </is>
      </c>
      <c r="B13" s="450" t="n">
        <v>0</v>
      </c>
      <c r="C13" s="450" t="n">
        <v>0</v>
      </c>
      <c r="D13" s="450" t="n">
        <v>0</v>
      </c>
      <c r="E13" s="450" t="n">
        <v>0</v>
      </c>
      <c r="F13" s="450" t="n">
        <v>0</v>
      </c>
      <c r="G13" s="450" t="n">
        <v>0</v>
      </c>
      <c r="H13" s="450" t="n">
        <v>0</v>
      </c>
      <c r="I13" s="450" t="n">
        <v>0</v>
      </c>
      <c r="J13" s="450" t="n">
        <v>0</v>
      </c>
      <c r="K13" s="450" t="n">
        <v>0</v>
      </c>
      <c r="L13" s="450" t="n">
        <v>0</v>
      </c>
      <c r="M13" s="450" t="n">
        <v>0</v>
      </c>
      <c r="N13" s="451">
        <f>SUM(B13:M13)</f>
        <v/>
      </c>
    </row>
    <row r="14">
      <c r="A14" s="452" t="inlineStr">
        <is>
          <t>TOTAL INGRESOS FAMILIA</t>
        </is>
      </c>
      <c r="B14" s="453">
        <f>SUM(B7:B13)</f>
        <v/>
      </c>
      <c r="C14" s="453">
        <f>SUM(C7:C13)</f>
        <v/>
      </c>
      <c r="D14" s="453">
        <f>SUM(D7:D13)</f>
        <v/>
      </c>
      <c r="E14" s="453">
        <f>SUM(E7:E13)</f>
        <v/>
      </c>
      <c r="F14" s="453">
        <f>SUM(F7:F13)</f>
        <v/>
      </c>
      <c r="G14" s="453">
        <f>SUM(G7:G13)</f>
        <v/>
      </c>
      <c r="H14" s="453">
        <f>SUM(H7:H13)</f>
        <v/>
      </c>
      <c r="I14" s="453">
        <f>SUM(I7:I13)</f>
        <v/>
      </c>
      <c r="J14" s="453">
        <f>SUM(J7:J13)</f>
        <v/>
      </c>
      <c r="K14" s="453">
        <f>SUM(K7:K13)</f>
        <v/>
      </c>
      <c r="L14" s="453">
        <f>SUM(L7:L13)</f>
        <v/>
      </c>
      <c r="M14" s="453">
        <f>SUM(M7:M13)</f>
        <v/>
      </c>
      <c r="N14" s="453">
        <f>SUM(N7:N13)</f>
        <v/>
      </c>
    </row>
    <row r="15">
      <c r="A15" s="447" t="inlineStr">
        <is>
          <t>► EGRESOS FAMILIA - GASTOS FIJOS</t>
        </is>
      </c>
      <c r="B15" s="448" t="n"/>
      <c r="C15" s="448" t="n"/>
      <c r="D15" s="448" t="n"/>
      <c r="E15" s="448" t="n"/>
      <c r="F15" s="448" t="n"/>
      <c r="G15" s="448" t="n"/>
      <c r="H15" s="448" t="n"/>
      <c r="I15" s="448" t="n"/>
      <c r="J15" s="448" t="n"/>
      <c r="K15" s="448" t="n"/>
      <c r="L15" s="448" t="n"/>
      <c r="M15" s="448" t="n"/>
      <c r="N15" s="448" t="n"/>
    </row>
    <row r="16">
      <c r="A16" s="449" t="inlineStr">
        <is>
          <t>Salario Lili Doméstico</t>
        </is>
      </c>
      <c r="B16" s="450" t="n">
        <v>0</v>
      </c>
      <c r="C16" s="450" t="n">
        <v>0</v>
      </c>
      <c r="D16" s="450" t="n">
        <v>0</v>
      </c>
      <c r="E16" s="450" t="n">
        <v>0</v>
      </c>
      <c r="F16" s="450" t="n">
        <v>0</v>
      </c>
      <c r="G16" s="450" t="n">
        <v>0</v>
      </c>
      <c r="H16" s="450" t="n">
        <v>0</v>
      </c>
      <c r="I16" s="450" t="n">
        <v>0</v>
      </c>
      <c r="J16" s="450" t="n">
        <v>0</v>
      </c>
      <c r="K16" s="450" t="n">
        <v>0</v>
      </c>
      <c r="L16" s="450" t="n">
        <v>0</v>
      </c>
      <c r="M16" s="450" t="n">
        <v>0</v>
      </c>
      <c r="N16" s="451">
        <f>SUM(B16:M16)</f>
        <v/>
      </c>
    </row>
    <row r="17">
      <c r="A17" s="449" t="inlineStr">
        <is>
          <t>Salario Laura Doméstico</t>
        </is>
      </c>
      <c r="B17" s="450" t="n">
        <v>0</v>
      </c>
      <c r="C17" s="450" t="n">
        <v>0</v>
      </c>
      <c r="D17" s="450" t="n">
        <v>0</v>
      </c>
      <c r="E17" s="450" t="n">
        <v>0</v>
      </c>
      <c r="F17" s="450" t="n">
        <v>0</v>
      </c>
      <c r="G17" s="450" t="n">
        <v>0</v>
      </c>
      <c r="H17" s="450" t="n">
        <v>0</v>
      </c>
      <c r="I17" s="450" t="n">
        <v>0</v>
      </c>
      <c r="J17" s="450" t="n">
        <v>0</v>
      </c>
      <c r="K17" s="450" t="n">
        <v>0</v>
      </c>
      <c r="L17" s="450" t="n">
        <v>0</v>
      </c>
      <c r="M17" s="450" t="n">
        <v>0</v>
      </c>
      <c r="N17" s="451">
        <f>SUM(B17:M17)</f>
        <v/>
      </c>
    </row>
    <row r="18">
      <c r="A18" s="449" t="inlineStr">
        <is>
          <t>Escuela Fabián y Brenda</t>
        </is>
      </c>
      <c r="B18" s="450" t="n">
        <v>0</v>
      </c>
      <c r="C18" s="450" t="n">
        <v>0</v>
      </c>
      <c r="D18" s="450" t="n">
        <v>0</v>
      </c>
      <c r="E18" s="450" t="n">
        <v>0</v>
      </c>
      <c r="F18" s="450" t="n">
        <v>0</v>
      </c>
      <c r="G18" s="450" t="n">
        <v>0</v>
      </c>
      <c r="H18" s="450" t="n">
        <v>0</v>
      </c>
      <c r="I18" s="450" t="n">
        <v>0</v>
      </c>
      <c r="J18" s="450" t="n">
        <v>0</v>
      </c>
      <c r="K18" s="450" t="n">
        <v>0</v>
      </c>
      <c r="L18" s="450" t="n">
        <v>0</v>
      </c>
      <c r="M18" s="450" t="n">
        <v>0</v>
      </c>
      <c r="N18" s="451">
        <f>SUM(B18:M18)</f>
        <v/>
      </c>
    </row>
    <row r="19">
      <c r="A19" s="449" t="inlineStr">
        <is>
          <t>Robótica Niños</t>
        </is>
      </c>
      <c r="B19" s="450" t="n">
        <v>0</v>
      </c>
      <c r="C19" s="450" t="n">
        <v>0</v>
      </c>
      <c r="D19" s="450" t="n">
        <v>0</v>
      </c>
      <c r="E19" s="450" t="n">
        <v>0</v>
      </c>
      <c r="F19" s="450" t="n">
        <v>0</v>
      </c>
      <c r="G19" s="450" t="n">
        <v>0</v>
      </c>
      <c r="H19" s="450" t="n">
        <v>0</v>
      </c>
      <c r="I19" s="450" t="n">
        <v>0</v>
      </c>
      <c r="J19" s="450" t="n">
        <v>0</v>
      </c>
      <c r="K19" s="450" t="n">
        <v>0</v>
      </c>
      <c r="L19" s="450" t="n">
        <v>0</v>
      </c>
      <c r="M19" s="450" t="n">
        <v>0</v>
      </c>
      <c r="N19" s="451">
        <f>SUM(B19:M19)</f>
        <v/>
      </c>
    </row>
    <row r="20">
      <c r="A20" s="449" t="inlineStr">
        <is>
          <t>ANDE Casa</t>
        </is>
      </c>
      <c r="B20" s="450" t="n">
        <v>0</v>
      </c>
      <c r="C20" s="450" t="n">
        <v>0</v>
      </c>
      <c r="D20" s="450" t="n">
        <v>0</v>
      </c>
      <c r="E20" s="450" t="n">
        <v>0</v>
      </c>
      <c r="F20" s="450" t="n">
        <v>0</v>
      </c>
      <c r="G20" s="450" t="n">
        <v>0</v>
      </c>
      <c r="H20" s="450" t="n">
        <v>0</v>
      </c>
      <c r="I20" s="450" t="n">
        <v>0</v>
      </c>
      <c r="J20" s="450" t="n">
        <v>0</v>
      </c>
      <c r="K20" s="450" t="n">
        <v>0</v>
      </c>
      <c r="L20" s="450" t="n">
        <v>0</v>
      </c>
      <c r="M20" s="450" t="n">
        <v>0</v>
      </c>
      <c r="N20" s="451">
        <f>SUM(B20:M20)</f>
        <v/>
      </c>
    </row>
    <row r="21">
      <c r="A21" s="449" t="inlineStr">
        <is>
          <t>Expensa Casa</t>
        </is>
      </c>
      <c r="B21" s="450" t="n">
        <v>0</v>
      </c>
      <c r="C21" s="450" t="n">
        <v>0</v>
      </c>
      <c r="D21" s="450" t="n">
        <v>0</v>
      </c>
      <c r="E21" s="450" t="n">
        <v>0</v>
      </c>
      <c r="F21" s="450" t="n">
        <v>0</v>
      </c>
      <c r="G21" s="450" t="n">
        <v>0</v>
      </c>
      <c r="H21" s="450" t="n">
        <v>0</v>
      </c>
      <c r="I21" s="450" t="n">
        <v>0</v>
      </c>
      <c r="J21" s="450" t="n">
        <v>0</v>
      </c>
      <c r="K21" s="450" t="n">
        <v>0</v>
      </c>
      <c r="L21" s="450" t="n">
        <v>0</v>
      </c>
      <c r="M21" s="450" t="n">
        <v>0</v>
      </c>
      <c r="N21" s="451">
        <f>SUM(B21:M21)</f>
        <v/>
      </c>
    </row>
    <row r="22">
      <c r="A22" s="449" t="inlineStr">
        <is>
          <t>Cajubi Marco</t>
        </is>
      </c>
      <c r="B22" s="450" t="n">
        <v>0</v>
      </c>
      <c r="C22" s="450" t="n">
        <v>0</v>
      </c>
      <c r="D22" s="450" t="n">
        <v>0</v>
      </c>
      <c r="E22" s="450" t="n">
        <v>0</v>
      </c>
      <c r="F22" s="450" t="n">
        <v>0</v>
      </c>
      <c r="G22" s="450" t="n">
        <v>0</v>
      </c>
      <c r="H22" s="450" t="n">
        <v>0</v>
      </c>
      <c r="I22" s="450" t="n">
        <v>0</v>
      </c>
      <c r="J22" s="450" t="n">
        <v>0</v>
      </c>
      <c r="K22" s="450" t="n">
        <v>0</v>
      </c>
      <c r="L22" s="450" t="n">
        <v>0</v>
      </c>
      <c r="M22" s="450" t="n">
        <v>0</v>
      </c>
      <c r="N22" s="451">
        <f>SUM(B22:M22)</f>
        <v/>
      </c>
    </row>
    <row r="23">
      <c r="A23" s="449" t="inlineStr">
        <is>
          <t>Mutual Marco</t>
        </is>
      </c>
      <c r="B23" s="450" t="n">
        <v>0</v>
      </c>
      <c r="C23" s="450" t="n">
        <v>0</v>
      </c>
      <c r="D23" s="450" t="n">
        <v>0</v>
      </c>
      <c r="E23" s="450" t="n">
        <v>0</v>
      </c>
      <c r="F23" s="450" t="n">
        <v>0</v>
      </c>
      <c r="G23" s="450" t="n">
        <v>0</v>
      </c>
      <c r="H23" s="450" t="n">
        <v>0</v>
      </c>
      <c r="I23" s="450" t="n">
        <v>0</v>
      </c>
      <c r="J23" s="450" t="n">
        <v>0</v>
      </c>
      <c r="K23" s="450" t="n">
        <v>0</v>
      </c>
      <c r="L23" s="450" t="n">
        <v>0</v>
      </c>
      <c r="M23" s="450" t="n">
        <v>0</v>
      </c>
      <c r="N23" s="451">
        <f>SUM(B23:M23)</f>
        <v/>
      </c>
    </row>
    <row r="24">
      <c r="A24" s="449" t="inlineStr">
        <is>
          <t>Ña Luisa</t>
        </is>
      </c>
      <c r="B24" s="450" t="n">
        <v>0</v>
      </c>
      <c r="C24" s="450" t="n">
        <v>0</v>
      </c>
      <c r="D24" s="450" t="n">
        <v>0</v>
      </c>
      <c r="E24" s="450" t="n">
        <v>0</v>
      </c>
      <c r="F24" s="450" t="n">
        <v>0</v>
      </c>
      <c r="G24" s="450" t="n">
        <v>0</v>
      </c>
      <c r="H24" s="450" t="n">
        <v>0</v>
      </c>
      <c r="I24" s="450" t="n">
        <v>0</v>
      </c>
      <c r="J24" s="450" t="n">
        <v>0</v>
      </c>
      <c r="K24" s="450" t="n">
        <v>0</v>
      </c>
      <c r="L24" s="450" t="n">
        <v>0</v>
      </c>
      <c r="M24" s="450" t="n">
        <v>0</v>
      </c>
      <c r="N24" s="451">
        <f>SUM(B24:M24)</f>
        <v/>
      </c>
    </row>
    <row r="25">
      <c r="A25" s="449" t="inlineStr">
        <is>
          <t>Seguro Médico Papá y Mamá</t>
        </is>
      </c>
      <c r="B25" s="450" t="n">
        <v>0</v>
      </c>
      <c r="C25" s="450" t="n">
        <v>0</v>
      </c>
      <c r="D25" s="450" t="n">
        <v>0</v>
      </c>
      <c r="E25" s="450" t="n">
        <v>0</v>
      </c>
      <c r="F25" s="450" t="n">
        <v>0</v>
      </c>
      <c r="G25" s="450" t="n">
        <v>0</v>
      </c>
      <c r="H25" s="450" t="n">
        <v>0</v>
      </c>
      <c r="I25" s="450" t="n">
        <v>0</v>
      </c>
      <c r="J25" s="450" t="n">
        <v>0</v>
      </c>
      <c r="K25" s="450" t="n">
        <v>0</v>
      </c>
      <c r="L25" s="450" t="n">
        <v>0</v>
      </c>
      <c r="M25" s="450" t="n">
        <v>0</v>
      </c>
      <c r="N25" s="451">
        <f>SUM(B25:M25)</f>
        <v/>
      </c>
    </row>
    <row r="26">
      <c r="A26" s="447" t="inlineStr">
        <is>
          <t>► EGRESOS FAMILIA - CUOTAS Y PRÉSTAMOS</t>
        </is>
      </c>
      <c r="B26" s="448" t="n"/>
      <c r="C26" s="448" t="n"/>
      <c r="D26" s="448" t="n"/>
      <c r="E26" s="448" t="n"/>
      <c r="F26" s="448" t="n"/>
      <c r="G26" s="448" t="n"/>
      <c r="H26" s="448" t="n"/>
      <c r="I26" s="448" t="n"/>
      <c r="J26" s="448" t="n"/>
      <c r="K26" s="448" t="n"/>
      <c r="L26" s="448" t="n"/>
      <c r="M26" s="448" t="n"/>
      <c r="N26" s="448" t="n"/>
    </row>
    <row r="27">
      <c r="A27" s="449" t="inlineStr">
        <is>
          <t>Auto Laura Cuota</t>
        </is>
      </c>
      <c r="B27" s="450" t="n">
        <v>0</v>
      </c>
      <c r="C27" s="450" t="n">
        <v>0</v>
      </c>
      <c r="D27" s="450" t="n">
        <v>0</v>
      </c>
      <c r="E27" s="450" t="n">
        <v>0</v>
      </c>
      <c r="F27" s="450" t="n">
        <v>0</v>
      </c>
      <c r="G27" s="450" t="n">
        <v>0</v>
      </c>
      <c r="H27" s="450" t="n">
        <v>0</v>
      </c>
      <c r="I27" s="450" t="n">
        <v>0</v>
      </c>
      <c r="J27" s="450" t="n">
        <v>0</v>
      </c>
      <c r="K27" s="450" t="n">
        <v>0</v>
      </c>
      <c r="L27" s="450" t="n">
        <v>0</v>
      </c>
      <c r="M27" s="450" t="n">
        <v>0</v>
      </c>
      <c r="N27" s="451">
        <f>SUM(B27:M27)</f>
        <v/>
      </c>
    </row>
    <row r="28">
      <c r="A28" s="449" t="inlineStr">
        <is>
          <t>Coop. Universitaria Clara</t>
        </is>
      </c>
      <c r="B28" s="450" t="n">
        <v>0</v>
      </c>
      <c r="C28" s="450" t="n">
        <v>0</v>
      </c>
      <c r="D28" s="450" t="n">
        <v>0</v>
      </c>
      <c r="E28" s="450" t="n">
        <v>0</v>
      </c>
      <c r="F28" s="450" t="n">
        <v>0</v>
      </c>
      <c r="G28" s="450" t="n">
        <v>0</v>
      </c>
      <c r="H28" s="450" t="n">
        <v>0</v>
      </c>
      <c r="I28" s="450" t="n">
        <v>0</v>
      </c>
      <c r="J28" s="450" t="n">
        <v>0</v>
      </c>
      <c r="K28" s="450" t="n">
        <v>0</v>
      </c>
      <c r="L28" s="450" t="n">
        <v>0</v>
      </c>
      <c r="M28" s="450" t="n">
        <v>0</v>
      </c>
      <c r="N28" s="451">
        <f>SUM(B28:M28)</f>
        <v/>
      </c>
    </row>
    <row r="29">
      <c r="A29" s="449" t="inlineStr">
        <is>
          <t>Coomecipar Clara</t>
        </is>
      </c>
      <c r="B29" s="450" t="n">
        <v>0</v>
      </c>
      <c r="C29" s="450" t="n">
        <v>0</v>
      </c>
      <c r="D29" s="450" t="n">
        <v>0</v>
      </c>
      <c r="E29" s="450" t="n">
        <v>0</v>
      </c>
      <c r="F29" s="450" t="n">
        <v>0</v>
      </c>
      <c r="G29" s="450" t="n">
        <v>0</v>
      </c>
      <c r="H29" s="450" t="n">
        <v>0</v>
      </c>
      <c r="I29" s="450" t="n">
        <v>0</v>
      </c>
      <c r="J29" s="450" t="n">
        <v>0</v>
      </c>
      <c r="K29" s="450" t="n">
        <v>0</v>
      </c>
      <c r="L29" s="450" t="n">
        <v>0</v>
      </c>
      <c r="M29" s="450" t="n">
        <v>0</v>
      </c>
      <c r="N29" s="451">
        <f>SUM(B29:M29)</f>
        <v/>
      </c>
    </row>
    <row r="30">
      <c r="A30" s="449" t="inlineStr">
        <is>
          <t>Tarjeta Cred. Coomecipar</t>
        </is>
      </c>
      <c r="B30" s="450" t="n">
        <v>0</v>
      </c>
      <c r="C30" s="450" t="n">
        <v>0</v>
      </c>
      <c r="D30" s="450" t="n">
        <v>0</v>
      </c>
      <c r="E30" s="450" t="n">
        <v>0</v>
      </c>
      <c r="F30" s="450" t="n">
        <v>0</v>
      </c>
      <c r="G30" s="450" t="n">
        <v>0</v>
      </c>
      <c r="H30" s="450" t="n">
        <v>0</v>
      </c>
      <c r="I30" s="450" t="n">
        <v>0</v>
      </c>
      <c r="J30" s="450" t="n">
        <v>0</v>
      </c>
      <c r="K30" s="450" t="n">
        <v>0</v>
      </c>
      <c r="L30" s="450" t="n">
        <v>0</v>
      </c>
      <c r="M30" s="450" t="n">
        <v>0</v>
      </c>
      <c r="N30" s="451">
        <f>SUM(B30:M30)</f>
        <v/>
      </c>
    </row>
    <row r="31">
      <c r="A31" s="449" t="inlineStr">
        <is>
          <t>Solar Préstamo 1</t>
        </is>
      </c>
      <c r="B31" s="450" t="n">
        <v>0</v>
      </c>
      <c r="C31" s="450" t="n">
        <v>0</v>
      </c>
      <c r="D31" s="450" t="n">
        <v>0</v>
      </c>
      <c r="E31" s="450" t="n">
        <v>0</v>
      </c>
      <c r="F31" s="450" t="n">
        <v>0</v>
      </c>
      <c r="G31" s="450" t="n">
        <v>0</v>
      </c>
      <c r="H31" s="450" t="n">
        <v>0</v>
      </c>
      <c r="I31" s="450" t="n">
        <v>0</v>
      </c>
      <c r="J31" s="450" t="n">
        <v>0</v>
      </c>
      <c r="K31" s="450" t="n">
        <v>0</v>
      </c>
      <c r="L31" s="450" t="n">
        <v>0</v>
      </c>
      <c r="M31" s="450" t="n">
        <v>0</v>
      </c>
      <c r="N31" s="451">
        <f>SUM(B31:M31)</f>
        <v/>
      </c>
    </row>
    <row r="32">
      <c r="A32" s="449" t="inlineStr">
        <is>
          <t>Solar Préstamo 2</t>
        </is>
      </c>
      <c r="B32" s="450" t="n">
        <v>0</v>
      </c>
      <c r="C32" s="450" t="n">
        <v>0</v>
      </c>
      <c r="D32" s="450" t="n">
        <v>0</v>
      </c>
      <c r="E32" s="450" t="n">
        <v>0</v>
      </c>
      <c r="F32" s="450" t="n">
        <v>0</v>
      </c>
      <c r="G32" s="450" t="n">
        <v>0</v>
      </c>
      <c r="H32" s="450" t="n">
        <v>0</v>
      </c>
      <c r="I32" s="450" t="n">
        <v>0</v>
      </c>
      <c r="J32" s="450" t="n">
        <v>0</v>
      </c>
      <c r="K32" s="450" t="n">
        <v>0</v>
      </c>
      <c r="L32" s="450" t="n">
        <v>0</v>
      </c>
      <c r="M32" s="450" t="n">
        <v>0</v>
      </c>
      <c r="N32" s="451">
        <f>SUM(B32:M32)</f>
        <v/>
      </c>
    </row>
    <row r="33">
      <c r="A33" s="449" t="inlineStr">
        <is>
          <t>Préstamo Lizzi Sueldos</t>
        </is>
      </c>
      <c r="B33" s="450" t="n">
        <v>0</v>
      </c>
      <c r="C33" s="450" t="n">
        <v>0</v>
      </c>
      <c r="D33" s="450" t="n">
        <v>0</v>
      </c>
      <c r="E33" s="450" t="n">
        <v>0</v>
      </c>
      <c r="F33" s="450" t="n">
        <v>0</v>
      </c>
      <c r="G33" s="450" t="n">
        <v>0</v>
      </c>
      <c r="H33" s="450" t="n">
        <v>0</v>
      </c>
      <c r="I33" s="450" t="n">
        <v>0</v>
      </c>
      <c r="J33" s="450" t="n">
        <v>0</v>
      </c>
      <c r="K33" s="450" t="n">
        <v>0</v>
      </c>
      <c r="L33" s="450" t="n">
        <v>0</v>
      </c>
      <c r="M33" s="450" t="n">
        <v>0</v>
      </c>
      <c r="N33" s="451">
        <f>SUM(B33:M33)</f>
        <v/>
      </c>
    </row>
    <row r="34">
      <c r="A34" s="449" t="inlineStr">
        <is>
          <t>Show Congelador</t>
        </is>
      </c>
      <c r="B34" s="450" t="n">
        <v>0</v>
      </c>
      <c r="C34" s="450" t="n">
        <v>0</v>
      </c>
      <c r="D34" s="450" t="n">
        <v>0</v>
      </c>
      <c r="E34" s="450" t="n">
        <v>0</v>
      </c>
      <c r="F34" s="450" t="n">
        <v>0</v>
      </c>
      <c r="G34" s="450" t="n">
        <v>0</v>
      </c>
      <c r="H34" s="450" t="n">
        <v>0</v>
      </c>
      <c r="I34" s="450" t="n">
        <v>0</v>
      </c>
      <c r="J34" s="450" t="n">
        <v>0</v>
      </c>
      <c r="K34" s="450" t="n">
        <v>0</v>
      </c>
      <c r="L34" s="450" t="n">
        <v>0</v>
      </c>
      <c r="M34" s="450" t="n">
        <v>0</v>
      </c>
      <c r="N34" s="451">
        <f>SUM(B34:M34)</f>
        <v/>
      </c>
    </row>
    <row r="35">
      <c r="A35" s="449" t="inlineStr">
        <is>
          <t>Olier Heladera</t>
        </is>
      </c>
      <c r="B35" s="450" t="n">
        <v>0</v>
      </c>
      <c r="C35" s="450" t="n">
        <v>0</v>
      </c>
      <c r="D35" s="450" t="n">
        <v>0</v>
      </c>
      <c r="E35" s="450" t="n">
        <v>0</v>
      </c>
      <c r="F35" s="450" t="n">
        <v>0</v>
      </c>
      <c r="G35" s="450" t="n">
        <v>0</v>
      </c>
      <c r="H35" s="450" t="n">
        <v>0</v>
      </c>
      <c r="I35" s="450" t="n">
        <v>0</v>
      </c>
      <c r="J35" s="450" t="n">
        <v>0</v>
      </c>
      <c r="K35" s="450" t="n">
        <v>0</v>
      </c>
      <c r="L35" s="450" t="n">
        <v>0</v>
      </c>
      <c r="M35" s="450" t="n">
        <v>0</v>
      </c>
      <c r="N35" s="451">
        <f>SUM(B35:M35)</f>
        <v/>
      </c>
    </row>
    <row r="36">
      <c r="A36" s="447" t="inlineStr">
        <is>
          <t>► EGRESOS FAMILIA - SUSCRIPCIONES</t>
        </is>
      </c>
      <c r="B36" s="448" t="n"/>
      <c r="C36" s="448" t="n"/>
      <c r="D36" s="448" t="n"/>
      <c r="E36" s="448" t="n"/>
      <c r="F36" s="448" t="n"/>
      <c r="G36" s="448" t="n"/>
      <c r="H36" s="448" t="n"/>
      <c r="I36" s="448" t="n"/>
      <c r="J36" s="448" t="n"/>
      <c r="K36" s="448" t="n"/>
      <c r="L36" s="448" t="n"/>
      <c r="M36" s="448" t="n"/>
      <c r="N36" s="448" t="n"/>
    </row>
    <row r="37">
      <c r="A37" s="449" t="inlineStr">
        <is>
          <t>Giganet</t>
        </is>
      </c>
      <c r="B37" s="450" t="n">
        <v>0</v>
      </c>
      <c r="C37" s="450" t="n">
        <v>0</v>
      </c>
      <c r="D37" s="450" t="n">
        <v>0</v>
      </c>
      <c r="E37" s="450" t="n">
        <v>0</v>
      </c>
      <c r="F37" s="450" t="n">
        <v>0</v>
      </c>
      <c r="G37" s="450" t="n">
        <v>0</v>
      </c>
      <c r="H37" s="450" t="n">
        <v>0</v>
      </c>
      <c r="I37" s="450" t="n">
        <v>0</v>
      </c>
      <c r="J37" s="450" t="n">
        <v>0</v>
      </c>
      <c r="K37" s="450" t="n">
        <v>0</v>
      </c>
      <c r="L37" s="450" t="n">
        <v>0</v>
      </c>
      <c r="M37" s="450" t="n">
        <v>0</v>
      </c>
      <c r="N37" s="451">
        <f>SUM(B37:M37)</f>
        <v/>
      </c>
    </row>
    <row r="38">
      <c r="A38" s="449" t="inlineStr">
        <is>
          <t>Tigo Internet/Celulares</t>
        </is>
      </c>
      <c r="B38" s="450" t="n">
        <v>0</v>
      </c>
      <c r="C38" s="450" t="n">
        <v>0</v>
      </c>
      <c r="D38" s="450" t="n">
        <v>0</v>
      </c>
      <c r="E38" s="450" t="n">
        <v>0</v>
      </c>
      <c r="F38" s="450" t="n">
        <v>0</v>
      </c>
      <c r="G38" s="450" t="n">
        <v>0</v>
      </c>
      <c r="H38" s="450" t="n">
        <v>0</v>
      </c>
      <c r="I38" s="450" t="n">
        <v>0</v>
      </c>
      <c r="J38" s="450" t="n">
        <v>0</v>
      </c>
      <c r="K38" s="450" t="n">
        <v>0</v>
      </c>
      <c r="L38" s="450" t="n">
        <v>0</v>
      </c>
      <c r="M38" s="450" t="n">
        <v>0</v>
      </c>
      <c r="N38" s="451">
        <f>SUM(B38:M38)</f>
        <v/>
      </c>
    </row>
    <row r="39">
      <c r="A39" s="449" t="inlineStr">
        <is>
          <t>Tigo Familiar</t>
        </is>
      </c>
      <c r="B39" s="450" t="n">
        <v>0</v>
      </c>
      <c r="C39" s="450" t="n">
        <v>0</v>
      </c>
      <c r="D39" s="450" t="n">
        <v>0</v>
      </c>
      <c r="E39" s="450" t="n">
        <v>0</v>
      </c>
      <c r="F39" s="450" t="n">
        <v>0</v>
      </c>
      <c r="G39" s="450" t="n">
        <v>0</v>
      </c>
      <c r="H39" s="450" t="n">
        <v>0</v>
      </c>
      <c r="I39" s="450" t="n">
        <v>0</v>
      </c>
      <c r="J39" s="450" t="n">
        <v>0</v>
      </c>
      <c r="K39" s="450" t="n">
        <v>0</v>
      </c>
      <c r="L39" s="450" t="n">
        <v>0</v>
      </c>
      <c r="M39" s="450" t="n">
        <v>0</v>
      </c>
      <c r="N39" s="451">
        <f>SUM(B39:M39)</f>
        <v/>
      </c>
    </row>
    <row r="40">
      <c r="A40" s="449" t="inlineStr">
        <is>
          <t>Google One</t>
        </is>
      </c>
      <c r="B40" s="450" t="n">
        <v>0</v>
      </c>
      <c r="C40" s="450" t="n">
        <v>0</v>
      </c>
      <c r="D40" s="450" t="n">
        <v>0</v>
      </c>
      <c r="E40" s="450" t="n">
        <v>0</v>
      </c>
      <c r="F40" s="450" t="n">
        <v>0</v>
      </c>
      <c r="G40" s="450" t="n">
        <v>0</v>
      </c>
      <c r="H40" s="450" t="n">
        <v>0</v>
      </c>
      <c r="I40" s="450" t="n">
        <v>0</v>
      </c>
      <c r="J40" s="450" t="n">
        <v>0</v>
      </c>
      <c r="K40" s="450" t="n">
        <v>0</v>
      </c>
      <c r="L40" s="450" t="n">
        <v>0</v>
      </c>
      <c r="M40" s="450" t="n">
        <v>0</v>
      </c>
      <c r="N40" s="451">
        <f>SUM(B40:M40)</f>
        <v/>
      </c>
    </row>
    <row r="41">
      <c r="A41" s="449" t="inlineStr">
        <is>
          <t>ChatGPT</t>
        </is>
      </c>
      <c r="B41" s="450" t="n">
        <v>0</v>
      </c>
      <c r="C41" s="450" t="n">
        <v>0</v>
      </c>
      <c r="D41" s="450" t="n">
        <v>0</v>
      </c>
      <c r="E41" s="450" t="n">
        <v>0</v>
      </c>
      <c r="F41" s="450" t="n">
        <v>0</v>
      </c>
      <c r="G41" s="450" t="n">
        <v>0</v>
      </c>
      <c r="H41" s="450" t="n">
        <v>0</v>
      </c>
      <c r="I41" s="450" t="n">
        <v>0</v>
      </c>
      <c r="J41" s="450" t="n">
        <v>0</v>
      </c>
      <c r="K41" s="450" t="n">
        <v>0</v>
      </c>
      <c r="L41" s="450" t="n">
        <v>0</v>
      </c>
      <c r="M41" s="450" t="n">
        <v>0</v>
      </c>
      <c r="N41" s="451">
        <f>SUM(B41:M41)</f>
        <v/>
      </c>
    </row>
    <row r="42">
      <c r="A42" s="449" t="inlineStr">
        <is>
          <t>Claude Marco</t>
        </is>
      </c>
      <c r="B42" s="450" t="n">
        <v>0</v>
      </c>
      <c r="C42" s="450" t="n">
        <v>0</v>
      </c>
      <c r="D42" s="450" t="n">
        <v>0</v>
      </c>
      <c r="E42" s="450" t="n">
        <v>0</v>
      </c>
      <c r="F42" s="450" t="n">
        <v>0</v>
      </c>
      <c r="G42" s="450" t="n">
        <v>0</v>
      </c>
      <c r="H42" s="450" t="n">
        <v>0</v>
      </c>
      <c r="I42" s="450" t="n">
        <v>0</v>
      </c>
      <c r="J42" s="450" t="n">
        <v>0</v>
      </c>
      <c r="K42" s="450" t="n">
        <v>0</v>
      </c>
      <c r="L42" s="450" t="n">
        <v>0</v>
      </c>
      <c r="M42" s="450" t="n">
        <v>0</v>
      </c>
      <c r="N42" s="451">
        <f>SUM(B42:M42)</f>
        <v/>
      </c>
    </row>
    <row r="43">
      <c r="A43" s="449" t="inlineStr">
        <is>
          <t>Claude Clara</t>
        </is>
      </c>
      <c r="B43" s="450" t="n">
        <v>0</v>
      </c>
      <c r="C43" s="450" t="n">
        <v>0</v>
      </c>
      <c r="D43" s="450" t="n">
        <v>0</v>
      </c>
      <c r="E43" s="450" t="n">
        <v>0</v>
      </c>
      <c r="F43" s="450" t="n">
        <v>0</v>
      </c>
      <c r="G43" s="450" t="n">
        <v>0</v>
      </c>
      <c r="H43" s="450" t="n">
        <v>0</v>
      </c>
      <c r="I43" s="450" t="n">
        <v>0</v>
      </c>
      <c r="J43" s="450" t="n">
        <v>0</v>
      </c>
      <c r="K43" s="450" t="n">
        <v>0</v>
      </c>
      <c r="L43" s="450" t="n">
        <v>0</v>
      </c>
      <c r="M43" s="450" t="n">
        <v>0</v>
      </c>
      <c r="N43" s="451">
        <f>SUM(B43:M43)</f>
        <v/>
      </c>
    </row>
    <row r="44">
      <c r="A44" s="449" t="inlineStr">
        <is>
          <t>iLovePDF</t>
        </is>
      </c>
      <c r="B44" s="450" t="n">
        <v>0</v>
      </c>
      <c r="C44" s="450" t="n">
        <v>0</v>
      </c>
      <c r="D44" s="450" t="n">
        <v>0</v>
      </c>
      <c r="E44" s="450" t="n">
        <v>0</v>
      </c>
      <c r="F44" s="450" t="n">
        <v>0</v>
      </c>
      <c r="G44" s="450" t="n">
        <v>0</v>
      </c>
      <c r="H44" s="450" t="n">
        <v>0</v>
      </c>
      <c r="I44" s="450" t="n">
        <v>0</v>
      </c>
      <c r="J44" s="450" t="n">
        <v>0</v>
      </c>
      <c r="K44" s="450" t="n">
        <v>0</v>
      </c>
      <c r="L44" s="450" t="n">
        <v>0</v>
      </c>
      <c r="M44" s="450" t="n">
        <v>0</v>
      </c>
      <c r="N44" s="451">
        <f>SUM(B44:M44)</f>
        <v/>
      </c>
    </row>
    <row r="45">
      <c r="A45" s="447" t="inlineStr">
        <is>
          <t>► EGRESOS FAMILIA - VARIABLES</t>
        </is>
      </c>
      <c r="B45" s="448" t="n"/>
      <c r="C45" s="448" t="n"/>
      <c r="D45" s="448" t="n"/>
      <c r="E45" s="448" t="n"/>
      <c r="F45" s="448" t="n"/>
      <c r="G45" s="448" t="n"/>
      <c r="H45" s="448" t="n"/>
      <c r="I45" s="448" t="n"/>
      <c r="J45" s="448" t="n"/>
      <c r="K45" s="448" t="n"/>
      <c r="L45" s="448" t="n"/>
      <c r="M45" s="448" t="n"/>
      <c r="N45" s="448" t="n"/>
    </row>
    <row r="46">
      <c r="A46" s="449" t="inlineStr">
        <is>
          <t>Alimentación</t>
        </is>
      </c>
      <c r="B46" s="450" t="n">
        <v>0</v>
      </c>
      <c r="C46" s="450" t="n">
        <v>0</v>
      </c>
      <c r="D46" s="450" t="n">
        <v>0</v>
      </c>
      <c r="E46" s="450" t="n">
        <v>0</v>
      </c>
      <c r="F46" s="450" t="n">
        <v>0</v>
      </c>
      <c r="G46" s="450" t="n">
        <v>0</v>
      </c>
      <c r="H46" s="450" t="n">
        <v>0</v>
      </c>
      <c r="I46" s="450" t="n">
        <v>0</v>
      </c>
      <c r="J46" s="450" t="n">
        <v>0</v>
      </c>
      <c r="K46" s="450" t="n">
        <v>0</v>
      </c>
      <c r="L46" s="450" t="n">
        <v>0</v>
      </c>
      <c r="M46" s="450" t="n">
        <v>0</v>
      </c>
      <c r="N46" s="451">
        <f>SUM(B46:M46)</f>
        <v/>
      </c>
    </row>
    <row r="47">
      <c r="A47" s="449" t="inlineStr">
        <is>
          <t>Combustible</t>
        </is>
      </c>
      <c r="B47" s="450" t="n">
        <v>0</v>
      </c>
      <c r="C47" s="450" t="n">
        <v>0</v>
      </c>
      <c r="D47" s="450" t="n">
        <v>0</v>
      </c>
      <c r="E47" s="450" t="n">
        <v>0</v>
      </c>
      <c r="F47" s="450" t="n">
        <v>0</v>
      </c>
      <c r="G47" s="450" t="n">
        <v>0</v>
      </c>
      <c r="H47" s="450" t="n">
        <v>0</v>
      </c>
      <c r="I47" s="450" t="n">
        <v>0</v>
      </c>
      <c r="J47" s="450" t="n">
        <v>0</v>
      </c>
      <c r="K47" s="450" t="n">
        <v>0</v>
      </c>
      <c r="L47" s="450" t="n">
        <v>0</v>
      </c>
      <c r="M47" s="450" t="n">
        <v>0</v>
      </c>
      <c r="N47" s="451">
        <f>SUM(B47:M47)</f>
        <v/>
      </c>
    </row>
    <row r="48">
      <c r="A48" s="449" t="inlineStr">
        <is>
          <t>Salud y Medicamentos</t>
        </is>
      </c>
      <c r="B48" s="450" t="n">
        <v>0</v>
      </c>
      <c r="C48" s="450" t="n">
        <v>0</v>
      </c>
      <c r="D48" s="450" t="n">
        <v>0</v>
      </c>
      <c r="E48" s="450" t="n">
        <v>0</v>
      </c>
      <c r="F48" s="450" t="n">
        <v>0</v>
      </c>
      <c r="G48" s="450" t="n">
        <v>0</v>
      </c>
      <c r="H48" s="450" t="n">
        <v>0</v>
      </c>
      <c r="I48" s="450" t="n">
        <v>0</v>
      </c>
      <c r="J48" s="450" t="n">
        <v>0</v>
      </c>
      <c r="K48" s="450" t="n">
        <v>0</v>
      </c>
      <c r="L48" s="450" t="n">
        <v>0</v>
      </c>
      <c r="M48" s="450" t="n">
        <v>0</v>
      </c>
      <c r="N48" s="451">
        <f>SUM(B48:M48)</f>
        <v/>
      </c>
    </row>
    <row r="49">
      <c r="A49" s="449" t="inlineStr">
        <is>
          <t>Gastos Varios Familia</t>
        </is>
      </c>
      <c r="B49" s="450" t="n">
        <v>0</v>
      </c>
      <c r="C49" s="450" t="n">
        <v>0</v>
      </c>
      <c r="D49" s="450" t="n">
        <v>0</v>
      </c>
      <c r="E49" s="450" t="n">
        <v>0</v>
      </c>
      <c r="F49" s="450" t="n">
        <v>0</v>
      </c>
      <c r="G49" s="450" t="n">
        <v>0</v>
      </c>
      <c r="H49" s="450" t="n">
        <v>0</v>
      </c>
      <c r="I49" s="450" t="n">
        <v>0</v>
      </c>
      <c r="J49" s="450" t="n">
        <v>0</v>
      </c>
      <c r="K49" s="450" t="n">
        <v>0</v>
      </c>
      <c r="L49" s="450" t="n">
        <v>0</v>
      </c>
      <c r="M49" s="450" t="n">
        <v>0</v>
      </c>
      <c r="N49" s="451">
        <f>SUM(B49:M49)</f>
        <v/>
      </c>
    </row>
    <row r="50">
      <c r="A50" s="452" t="inlineStr">
        <is>
          <t>TOTAL EGRESOS FAMILIA</t>
        </is>
      </c>
      <c r="B50" s="453">
        <f>SUM(B16:B49)</f>
        <v/>
      </c>
      <c r="C50" s="453">
        <f>SUM(C16:C49)</f>
        <v/>
      </c>
      <c r="D50" s="453">
        <f>SUM(D16:D49)</f>
        <v/>
      </c>
      <c r="E50" s="453">
        <f>SUM(E16:E49)</f>
        <v/>
      </c>
      <c r="F50" s="453">
        <f>SUM(F16:F49)</f>
        <v/>
      </c>
      <c r="G50" s="453">
        <f>SUM(G16:G49)</f>
        <v/>
      </c>
      <c r="H50" s="453">
        <f>SUM(H16:H49)</f>
        <v/>
      </c>
      <c r="I50" s="453">
        <f>SUM(I16:I49)</f>
        <v/>
      </c>
      <c r="J50" s="453">
        <f>SUM(J16:J49)</f>
        <v/>
      </c>
      <c r="K50" s="453">
        <f>SUM(K16:K49)</f>
        <v/>
      </c>
      <c r="L50" s="453">
        <f>SUM(L16:L49)</f>
        <v/>
      </c>
      <c r="M50" s="453">
        <f>SUM(M16:M49)</f>
        <v/>
      </c>
      <c r="N50" s="453">
        <f>SUM(N16:N49)</f>
        <v/>
      </c>
    </row>
    <row r="51">
      <c r="A51" s="454" t="inlineStr">
        <is>
          <t>BALANCE FAMILIA (Ingresos - Egresos)</t>
        </is>
      </c>
      <c r="B51" s="455">
        <f>B14-B50</f>
        <v/>
      </c>
      <c r="C51" s="455">
        <f>C14-C50</f>
        <v/>
      </c>
      <c r="D51" s="455">
        <f>D14-D50</f>
        <v/>
      </c>
      <c r="E51" s="455">
        <f>E14-E50</f>
        <v/>
      </c>
      <c r="F51" s="455">
        <f>F14-F50</f>
        <v/>
      </c>
      <c r="G51" s="455">
        <f>G14-G50</f>
        <v/>
      </c>
      <c r="H51" s="455">
        <f>H14-H50</f>
        <v/>
      </c>
      <c r="I51" s="455">
        <f>I14-I50</f>
        <v/>
      </c>
      <c r="J51" s="455">
        <f>J14-J50</f>
        <v/>
      </c>
      <c r="K51" s="455">
        <f>K14-K50</f>
        <v/>
      </c>
      <c r="L51" s="455">
        <f>L14-L50</f>
        <v/>
      </c>
      <c r="M51" s="455">
        <f>M14-M50</f>
        <v/>
      </c>
      <c r="N51" s="455">
        <f>N14-N50</f>
        <v/>
      </c>
    </row>
    <row r="53">
      <c r="A53" s="444" t="inlineStr">
        <is>
          <t>═══ PRESUPUESTO NEUROTEA ═══</t>
        </is>
      </c>
      <c r="B53" s="445" t="n"/>
      <c r="C53" s="445" t="n"/>
      <c r="D53" s="445" t="n"/>
      <c r="E53" s="445" t="n"/>
      <c r="F53" s="445" t="n"/>
      <c r="G53" s="445" t="n"/>
      <c r="H53" s="445" t="n"/>
      <c r="I53" s="445" t="n"/>
      <c r="J53" s="445" t="n"/>
      <c r="K53" s="445" t="n"/>
      <c r="L53" s="445" t="n"/>
      <c r="M53" s="445" t="n"/>
      <c r="N53" s="446" t="n"/>
    </row>
    <row r="54">
      <c r="A54" s="447" t="inlineStr">
        <is>
          <t>► INGRESOS NEUROTEA</t>
        </is>
      </c>
      <c r="B54" s="448" t="n"/>
      <c r="C54" s="448" t="n"/>
      <c r="D54" s="448" t="n"/>
      <c r="E54" s="448" t="n"/>
      <c r="F54" s="448" t="n"/>
      <c r="G54" s="448" t="n"/>
      <c r="H54" s="448" t="n"/>
      <c r="I54" s="448" t="n"/>
      <c r="J54" s="448" t="n"/>
      <c r="K54" s="448" t="n"/>
      <c r="L54" s="448" t="n"/>
      <c r="M54" s="448" t="n"/>
      <c r="N54" s="448" t="n"/>
    </row>
    <row r="55">
      <c r="A55" s="449" t="inlineStr">
        <is>
          <t>Sesiones Individuales</t>
        </is>
      </c>
      <c r="B55" s="450" t="n">
        <v>0</v>
      </c>
      <c r="C55" s="450" t="n">
        <v>0</v>
      </c>
      <c r="D55" s="450" t="n">
        <v>0</v>
      </c>
      <c r="E55" s="450" t="n">
        <v>0</v>
      </c>
      <c r="F55" s="450" t="n">
        <v>0</v>
      </c>
      <c r="G55" s="450" t="n">
        <v>0</v>
      </c>
      <c r="H55" s="450" t="n">
        <v>0</v>
      </c>
      <c r="I55" s="450" t="n">
        <v>0</v>
      </c>
      <c r="J55" s="450" t="n">
        <v>0</v>
      </c>
      <c r="K55" s="450" t="n">
        <v>0</v>
      </c>
      <c r="L55" s="450" t="n">
        <v>0</v>
      </c>
      <c r="M55" s="450" t="n">
        <v>0</v>
      </c>
      <c r="N55" s="451">
        <f>SUM(B55:M55)</f>
        <v/>
      </c>
    </row>
    <row r="56">
      <c r="A56" s="449" t="inlineStr">
        <is>
          <t>Paquetes de Sesiones</t>
        </is>
      </c>
      <c r="B56" s="450" t="n">
        <v>0</v>
      </c>
      <c r="C56" s="450" t="n">
        <v>0</v>
      </c>
      <c r="D56" s="450" t="n">
        <v>0</v>
      </c>
      <c r="E56" s="450" t="n">
        <v>0</v>
      </c>
      <c r="F56" s="450" t="n">
        <v>0</v>
      </c>
      <c r="G56" s="450" t="n">
        <v>0</v>
      </c>
      <c r="H56" s="450" t="n">
        <v>0</v>
      </c>
      <c r="I56" s="450" t="n">
        <v>0</v>
      </c>
      <c r="J56" s="450" t="n">
        <v>0</v>
      </c>
      <c r="K56" s="450" t="n">
        <v>0</v>
      </c>
      <c r="L56" s="450" t="n">
        <v>0</v>
      </c>
      <c r="M56" s="450" t="n">
        <v>0</v>
      </c>
      <c r="N56" s="451">
        <f>SUM(B56:M56)</f>
        <v/>
      </c>
    </row>
    <row r="57">
      <c r="A57" s="449" t="inlineStr">
        <is>
          <t>Evaluaciones</t>
        </is>
      </c>
      <c r="B57" s="450" t="n">
        <v>0</v>
      </c>
      <c r="C57" s="450" t="n">
        <v>0</v>
      </c>
      <c r="D57" s="450" t="n">
        <v>0</v>
      </c>
      <c r="E57" s="450" t="n">
        <v>0</v>
      </c>
      <c r="F57" s="450" t="n">
        <v>0</v>
      </c>
      <c r="G57" s="450" t="n">
        <v>0</v>
      </c>
      <c r="H57" s="450" t="n">
        <v>0</v>
      </c>
      <c r="I57" s="450" t="n">
        <v>0</v>
      </c>
      <c r="J57" s="450" t="n">
        <v>0</v>
      </c>
      <c r="K57" s="450" t="n">
        <v>0</v>
      </c>
      <c r="L57" s="450" t="n">
        <v>0</v>
      </c>
      <c r="M57" s="450" t="n">
        <v>0</v>
      </c>
      <c r="N57" s="451">
        <f>SUM(B57:M57)</f>
        <v/>
      </c>
    </row>
    <row r="58">
      <c r="A58" s="449" t="inlineStr">
        <is>
          <t>Otros Ingresos NT</t>
        </is>
      </c>
      <c r="B58" s="450" t="n">
        <v>0</v>
      </c>
      <c r="C58" s="450" t="n">
        <v>0</v>
      </c>
      <c r="D58" s="450" t="n">
        <v>0</v>
      </c>
      <c r="E58" s="450" t="n">
        <v>0</v>
      </c>
      <c r="F58" s="450" t="n">
        <v>0</v>
      </c>
      <c r="G58" s="450" t="n">
        <v>0</v>
      </c>
      <c r="H58" s="450" t="n">
        <v>0</v>
      </c>
      <c r="I58" s="450" t="n">
        <v>0</v>
      </c>
      <c r="J58" s="450" t="n">
        <v>0</v>
      </c>
      <c r="K58" s="450" t="n">
        <v>0</v>
      </c>
      <c r="L58" s="450" t="n">
        <v>0</v>
      </c>
      <c r="M58" s="450" t="n">
        <v>0</v>
      </c>
      <c r="N58" s="451">
        <f>SUM(B58:M58)</f>
        <v/>
      </c>
    </row>
    <row r="59">
      <c r="A59" s="452" t="inlineStr">
        <is>
          <t>TOTAL INGRESOS NEUROTEA</t>
        </is>
      </c>
      <c r="B59" s="453">
        <f>SUM(B55:B58)</f>
        <v/>
      </c>
      <c r="C59" s="453">
        <f>SUM(C55:C58)</f>
        <v/>
      </c>
      <c r="D59" s="453">
        <f>SUM(D55:D58)</f>
        <v/>
      </c>
      <c r="E59" s="453">
        <f>SUM(E55:E58)</f>
        <v/>
      </c>
      <c r="F59" s="453">
        <f>SUM(F55:F58)</f>
        <v/>
      </c>
      <c r="G59" s="453">
        <f>SUM(G55:G58)</f>
        <v/>
      </c>
      <c r="H59" s="453">
        <f>SUM(H55:H58)</f>
        <v/>
      </c>
      <c r="I59" s="453">
        <f>SUM(I55:I58)</f>
        <v/>
      </c>
      <c r="J59" s="453">
        <f>SUM(J55:J58)</f>
        <v/>
      </c>
      <c r="K59" s="453">
        <f>SUM(K55:K58)</f>
        <v/>
      </c>
      <c r="L59" s="453">
        <f>SUM(L55:L58)</f>
        <v/>
      </c>
      <c r="M59" s="453">
        <f>SUM(M55:M58)</f>
        <v/>
      </c>
      <c r="N59" s="453">
        <f>SUM(N55:N58)</f>
        <v/>
      </c>
    </row>
    <row r="60">
      <c r="A60" s="447" t="inlineStr">
        <is>
          <t>► EGRESOS NT - GASTOS FIJOS</t>
        </is>
      </c>
      <c r="B60" s="448" t="n"/>
      <c r="C60" s="448" t="n"/>
      <c r="D60" s="448" t="n"/>
      <c r="E60" s="448" t="n"/>
      <c r="F60" s="448" t="n"/>
      <c r="G60" s="448" t="n"/>
      <c r="H60" s="448" t="n"/>
      <c r="I60" s="448" t="n"/>
      <c r="J60" s="448" t="n"/>
      <c r="K60" s="448" t="n"/>
      <c r="L60" s="448" t="n"/>
      <c r="M60" s="448" t="n"/>
      <c r="N60" s="448" t="n"/>
    </row>
    <row r="61">
      <c r="A61" s="449" t="inlineStr">
        <is>
          <t>Alquiler 1 (Principal)</t>
        </is>
      </c>
      <c r="B61" s="450" t="n">
        <v>0</v>
      </c>
      <c r="C61" s="450" t="n">
        <v>0</v>
      </c>
      <c r="D61" s="450" t="n">
        <v>0</v>
      </c>
      <c r="E61" s="450" t="n">
        <v>0</v>
      </c>
      <c r="F61" s="450" t="n">
        <v>0</v>
      </c>
      <c r="G61" s="450" t="n">
        <v>0</v>
      </c>
      <c r="H61" s="450" t="n">
        <v>0</v>
      </c>
      <c r="I61" s="450" t="n">
        <v>0</v>
      </c>
      <c r="J61" s="450" t="n">
        <v>0</v>
      </c>
      <c r="K61" s="450" t="n">
        <v>0</v>
      </c>
      <c r="L61" s="450" t="n">
        <v>0</v>
      </c>
      <c r="M61" s="450" t="n">
        <v>0</v>
      </c>
      <c r="N61" s="451">
        <f>SUM(B61:M61)</f>
        <v/>
      </c>
    </row>
    <row r="62">
      <c r="A62" s="449" t="inlineStr">
        <is>
          <t>Alquiler 2 (Secundario)</t>
        </is>
      </c>
      <c r="B62" s="450" t="n">
        <v>0</v>
      </c>
      <c r="C62" s="450" t="n">
        <v>0</v>
      </c>
      <c r="D62" s="450" t="n">
        <v>0</v>
      </c>
      <c r="E62" s="450" t="n">
        <v>0</v>
      </c>
      <c r="F62" s="450" t="n">
        <v>0</v>
      </c>
      <c r="G62" s="450" t="n">
        <v>0</v>
      </c>
      <c r="H62" s="450" t="n">
        <v>0</v>
      </c>
      <c r="I62" s="450" t="n">
        <v>0</v>
      </c>
      <c r="J62" s="450" t="n">
        <v>0</v>
      </c>
      <c r="K62" s="450" t="n">
        <v>0</v>
      </c>
      <c r="L62" s="450" t="n">
        <v>0</v>
      </c>
      <c r="M62" s="450" t="n">
        <v>0</v>
      </c>
      <c r="N62" s="451">
        <f>SUM(B62:M62)</f>
        <v/>
      </c>
    </row>
    <row r="63">
      <c r="A63" s="449" t="inlineStr">
        <is>
          <t>Limpieza NeuroTEA</t>
        </is>
      </c>
      <c r="B63" s="450" t="n">
        <v>0</v>
      </c>
      <c r="C63" s="450" t="n">
        <v>0</v>
      </c>
      <c r="D63" s="450" t="n">
        <v>0</v>
      </c>
      <c r="E63" s="450" t="n">
        <v>0</v>
      </c>
      <c r="F63" s="450" t="n">
        <v>0</v>
      </c>
      <c r="G63" s="450" t="n">
        <v>0</v>
      </c>
      <c r="H63" s="450" t="n">
        <v>0</v>
      </c>
      <c r="I63" s="450" t="n">
        <v>0</v>
      </c>
      <c r="J63" s="450" t="n">
        <v>0</v>
      </c>
      <c r="K63" s="450" t="n">
        <v>0</v>
      </c>
      <c r="L63" s="450" t="n">
        <v>0</v>
      </c>
      <c r="M63" s="450" t="n">
        <v>0</v>
      </c>
      <c r="N63" s="451">
        <f>SUM(B63:M63)</f>
        <v/>
      </c>
    </row>
    <row r="64">
      <c r="A64" s="447" t="inlineStr">
        <is>
          <t>► EGRESOS NT - SUELDOS Y HONORARIOS</t>
        </is>
      </c>
      <c r="B64" s="448" t="n"/>
      <c r="C64" s="448" t="n"/>
      <c r="D64" s="448" t="n"/>
      <c r="E64" s="448" t="n"/>
      <c r="F64" s="448" t="n"/>
      <c r="G64" s="448" t="n"/>
      <c r="H64" s="448" t="n"/>
      <c r="I64" s="448" t="n"/>
      <c r="J64" s="448" t="n"/>
      <c r="K64" s="448" t="n"/>
      <c r="L64" s="448" t="n"/>
      <c r="M64" s="448" t="n"/>
      <c r="N64" s="448" t="n"/>
    </row>
    <row r="65">
      <c r="A65" s="449" t="inlineStr">
        <is>
          <t>Sueldo Aracely</t>
        </is>
      </c>
      <c r="B65" s="450" t="n">
        <v>0</v>
      </c>
      <c r="C65" s="450" t="n">
        <v>0</v>
      </c>
      <c r="D65" s="450" t="n">
        <v>0</v>
      </c>
      <c r="E65" s="450" t="n">
        <v>0</v>
      </c>
      <c r="F65" s="450" t="n">
        <v>0</v>
      </c>
      <c r="G65" s="450" t="n">
        <v>0</v>
      </c>
      <c r="H65" s="450" t="n">
        <v>0</v>
      </c>
      <c r="I65" s="450" t="n">
        <v>0</v>
      </c>
      <c r="J65" s="450" t="n">
        <v>0</v>
      </c>
      <c r="K65" s="450" t="n">
        <v>0</v>
      </c>
      <c r="L65" s="450" t="n">
        <v>0</v>
      </c>
      <c r="M65" s="450" t="n">
        <v>0</v>
      </c>
      <c r="N65" s="451">
        <f>SUM(B65:M65)</f>
        <v/>
      </c>
    </row>
    <row r="66">
      <c r="A66" s="449" t="inlineStr">
        <is>
          <t>Sueldo Fátima</t>
        </is>
      </c>
      <c r="B66" s="450" t="n">
        <v>0</v>
      </c>
      <c r="C66" s="450" t="n">
        <v>0</v>
      </c>
      <c r="D66" s="450" t="n">
        <v>0</v>
      </c>
      <c r="E66" s="450" t="n">
        <v>0</v>
      </c>
      <c r="F66" s="450" t="n">
        <v>0</v>
      </c>
      <c r="G66" s="450" t="n">
        <v>0</v>
      </c>
      <c r="H66" s="450" t="n">
        <v>0</v>
      </c>
      <c r="I66" s="450" t="n">
        <v>0</v>
      </c>
      <c r="J66" s="450" t="n">
        <v>0</v>
      </c>
      <c r="K66" s="450" t="n">
        <v>0</v>
      </c>
      <c r="L66" s="450" t="n">
        <v>0</v>
      </c>
      <c r="M66" s="450" t="n">
        <v>0</v>
      </c>
      <c r="N66" s="451">
        <f>SUM(B66:M66)</f>
        <v/>
      </c>
    </row>
    <row r="67">
      <c r="A67" s="449" t="inlineStr">
        <is>
          <t>Honorario Contador</t>
        </is>
      </c>
      <c r="B67" s="450" t="n">
        <v>0</v>
      </c>
      <c r="C67" s="450" t="n">
        <v>0</v>
      </c>
      <c r="D67" s="450" t="n">
        <v>0</v>
      </c>
      <c r="E67" s="450" t="n">
        <v>0</v>
      </c>
      <c r="F67" s="450" t="n">
        <v>0</v>
      </c>
      <c r="G67" s="450" t="n">
        <v>0</v>
      </c>
      <c r="H67" s="450" t="n">
        <v>0</v>
      </c>
      <c r="I67" s="450" t="n">
        <v>0</v>
      </c>
      <c r="J67" s="450" t="n">
        <v>0</v>
      </c>
      <c r="K67" s="450" t="n">
        <v>0</v>
      </c>
      <c r="L67" s="450" t="n">
        <v>0</v>
      </c>
      <c r="M67" s="450" t="n">
        <v>0</v>
      </c>
      <c r="N67" s="451">
        <f>SUM(B67:M67)</f>
        <v/>
      </c>
    </row>
    <row r="68">
      <c r="A68" s="449" t="inlineStr">
        <is>
          <t>Salario Administrador</t>
        </is>
      </c>
      <c r="B68" s="450" t="n">
        <v>0</v>
      </c>
      <c r="C68" s="450" t="n">
        <v>0</v>
      </c>
      <c r="D68" s="450" t="n">
        <v>0</v>
      </c>
      <c r="E68" s="450" t="n">
        <v>0</v>
      </c>
      <c r="F68" s="450" t="n">
        <v>0</v>
      </c>
      <c r="G68" s="450" t="n">
        <v>0</v>
      </c>
      <c r="H68" s="450" t="n">
        <v>0</v>
      </c>
      <c r="I68" s="450" t="n">
        <v>0</v>
      </c>
      <c r="J68" s="450" t="n">
        <v>0</v>
      </c>
      <c r="K68" s="450" t="n">
        <v>0</v>
      </c>
      <c r="L68" s="450" t="n">
        <v>0</v>
      </c>
      <c r="M68" s="450" t="n">
        <v>0</v>
      </c>
      <c r="N68" s="451">
        <f>SUM(B68:M68)</f>
        <v/>
      </c>
    </row>
    <row r="69">
      <c r="A69" s="449" t="inlineStr">
        <is>
          <t>Honorario Mant. Sistema</t>
        </is>
      </c>
      <c r="B69" s="450" t="n">
        <v>0</v>
      </c>
      <c r="C69" s="450" t="n">
        <v>0</v>
      </c>
      <c r="D69" s="450" t="n">
        <v>0</v>
      </c>
      <c r="E69" s="450" t="n">
        <v>0</v>
      </c>
      <c r="F69" s="450" t="n">
        <v>0</v>
      </c>
      <c r="G69" s="450" t="n">
        <v>0</v>
      </c>
      <c r="H69" s="450" t="n">
        <v>0</v>
      </c>
      <c r="I69" s="450" t="n">
        <v>0</v>
      </c>
      <c r="J69" s="450" t="n">
        <v>0</v>
      </c>
      <c r="K69" s="450" t="n">
        <v>0</v>
      </c>
      <c r="L69" s="450" t="n">
        <v>0</v>
      </c>
      <c r="M69" s="450" t="n">
        <v>0</v>
      </c>
      <c r="N69" s="451">
        <f>SUM(B69:M69)</f>
        <v/>
      </c>
    </row>
    <row r="70">
      <c r="A70" s="447" t="inlineStr">
        <is>
          <t>► EGRESOS NT - TELEFONÍA E INTERNET</t>
        </is>
      </c>
      <c r="B70" s="448" t="n"/>
      <c r="C70" s="448" t="n"/>
      <c r="D70" s="448" t="n"/>
      <c r="E70" s="448" t="n"/>
      <c r="F70" s="448" t="n"/>
      <c r="G70" s="448" t="n"/>
      <c r="H70" s="448" t="n"/>
      <c r="I70" s="448" t="n"/>
      <c r="J70" s="448" t="n"/>
      <c r="K70" s="448" t="n"/>
      <c r="L70" s="448" t="n"/>
      <c r="M70" s="448" t="n"/>
      <c r="N70" s="448" t="n"/>
    </row>
    <row r="71">
      <c r="A71" s="449" t="inlineStr">
        <is>
          <t>Celular Tigo NeuroTEA</t>
        </is>
      </c>
      <c r="B71" s="450" t="n">
        <v>0</v>
      </c>
      <c r="C71" s="450" t="n">
        <v>0</v>
      </c>
      <c r="D71" s="450" t="n">
        <v>0</v>
      </c>
      <c r="E71" s="450" t="n">
        <v>0</v>
      </c>
      <c r="F71" s="450" t="n">
        <v>0</v>
      </c>
      <c r="G71" s="450" t="n">
        <v>0</v>
      </c>
      <c r="H71" s="450" t="n">
        <v>0</v>
      </c>
      <c r="I71" s="450" t="n">
        <v>0</v>
      </c>
      <c r="J71" s="450" t="n">
        <v>0</v>
      </c>
      <c r="K71" s="450" t="n">
        <v>0</v>
      </c>
      <c r="L71" s="450" t="n">
        <v>0</v>
      </c>
      <c r="M71" s="450" t="n">
        <v>0</v>
      </c>
      <c r="N71" s="451">
        <f>SUM(B71:M71)</f>
        <v/>
      </c>
    </row>
    <row r="72">
      <c r="A72" s="449" t="inlineStr">
        <is>
          <t>Celular Tigo Sistema</t>
        </is>
      </c>
      <c r="B72" s="450" t="n">
        <v>0</v>
      </c>
      <c r="C72" s="450" t="n">
        <v>0</v>
      </c>
      <c r="D72" s="450" t="n">
        <v>0</v>
      </c>
      <c r="E72" s="450" t="n">
        <v>0</v>
      </c>
      <c r="F72" s="450" t="n">
        <v>0</v>
      </c>
      <c r="G72" s="450" t="n">
        <v>0</v>
      </c>
      <c r="H72" s="450" t="n">
        <v>0</v>
      </c>
      <c r="I72" s="450" t="n">
        <v>0</v>
      </c>
      <c r="J72" s="450" t="n">
        <v>0</v>
      </c>
      <c r="K72" s="450" t="n">
        <v>0</v>
      </c>
      <c r="L72" s="450" t="n">
        <v>0</v>
      </c>
      <c r="M72" s="450" t="n">
        <v>0</v>
      </c>
      <c r="N72" s="451">
        <f>SUM(B72:M72)</f>
        <v/>
      </c>
    </row>
    <row r="73">
      <c r="A73" s="449" t="inlineStr">
        <is>
          <t>WhatsFlow</t>
        </is>
      </c>
      <c r="B73" s="450" t="n">
        <v>0</v>
      </c>
      <c r="C73" s="450" t="n">
        <v>0</v>
      </c>
      <c r="D73" s="450" t="n">
        <v>0</v>
      </c>
      <c r="E73" s="450" t="n">
        <v>0</v>
      </c>
      <c r="F73" s="450" t="n">
        <v>0</v>
      </c>
      <c r="G73" s="450" t="n">
        <v>0</v>
      </c>
      <c r="H73" s="450" t="n">
        <v>0</v>
      </c>
      <c r="I73" s="450" t="n">
        <v>0</v>
      </c>
      <c r="J73" s="450" t="n">
        <v>0</v>
      </c>
      <c r="K73" s="450" t="n">
        <v>0</v>
      </c>
      <c r="L73" s="450" t="n">
        <v>0</v>
      </c>
      <c r="M73" s="450" t="n">
        <v>0</v>
      </c>
      <c r="N73" s="451">
        <f>SUM(B73:M73)</f>
        <v/>
      </c>
    </row>
    <row r="74">
      <c r="A74" s="449" t="inlineStr">
        <is>
          <t>Internet NeuroTEA</t>
        </is>
      </c>
      <c r="B74" s="450" t="n">
        <v>0</v>
      </c>
      <c r="C74" s="450" t="n">
        <v>0</v>
      </c>
      <c r="D74" s="450" t="n">
        <v>0</v>
      </c>
      <c r="E74" s="450" t="n">
        <v>0</v>
      </c>
      <c r="F74" s="450" t="n">
        <v>0</v>
      </c>
      <c r="G74" s="450" t="n">
        <v>0</v>
      </c>
      <c r="H74" s="450" t="n">
        <v>0</v>
      </c>
      <c r="I74" s="450" t="n">
        <v>0</v>
      </c>
      <c r="J74" s="450" t="n">
        <v>0</v>
      </c>
      <c r="K74" s="450" t="n">
        <v>0</v>
      </c>
      <c r="L74" s="450" t="n">
        <v>0</v>
      </c>
      <c r="M74" s="450" t="n">
        <v>0</v>
      </c>
      <c r="N74" s="451">
        <f>SUM(B74:M74)</f>
        <v/>
      </c>
    </row>
    <row r="75">
      <c r="A75" s="447" t="inlineStr">
        <is>
          <t>► EGRESOS NT - IMPUESTOS</t>
        </is>
      </c>
      <c r="B75" s="448" t="n"/>
      <c r="C75" s="448" t="n"/>
      <c r="D75" s="448" t="n"/>
      <c r="E75" s="448" t="n"/>
      <c r="F75" s="448" t="n"/>
      <c r="G75" s="448" t="n"/>
      <c r="H75" s="448" t="n"/>
      <c r="I75" s="448" t="n"/>
      <c r="J75" s="448" t="n"/>
      <c r="K75" s="448" t="n"/>
      <c r="L75" s="448" t="n"/>
      <c r="M75" s="448" t="n"/>
      <c r="N75" s="448" t="n"/>
    </row>
    <row r="76">
      <c r="A76" s="449" t="inlineStr">
        <is>
          <t>IVA</t>
        </is>
      </c>
      <c r="B76" s="450" t="n">
        <v>0</v>
      </c>
      <c r="C76" s="450" t="n">
        <v>0</v>
      </c>
      <c r="D76" s="450" t="n">
        <v>0</v>
      </c>
      <c r="E76" s="450" t="n">
        <v>0</v>
      </c>
      <c r="F76" s="450" t="n">
        <v>0</v>
      </c>
      <c r="G76" s="450" t="n">
        <v>0</v>
      </c>
      <c r="H76" s="450" t="n">
        <v>0</v>
      </c>
      <c r="I76" s="450" t="n">
        <v>0</v>
      </c>
      <c r="J76" s="450" t="n">
        <v>0</v>
      </c>
      <c r="K76" s="450" t="n">
        <v>0</v>
      </c>
      <c r="L76" s="450" t="n">
        <v>0</v>
      </c>
      <c r="M76" s="450" t="n">
        <v>0</v>
      </c>
      <c r="N76" s="451">
        <f>SUM(B76:M76)</f>
        <v/>
      </c>
    </row>
    <row r="77">
      <c r="A77" s="449" t="inlineStr">
        <is>
          <t>IPS</t>
        </is>
      </c>
      <c r="B77" s="450" t="n">
        <v>0</v>
      </c>
      <c r="C77" s="450" t="n">
        <v>0</v>
      </c>
      <c r="D77" s="450" t="n">
        <v>0</v>
      </c>
      <c r="E77" s="450" t="n">
        <v>0</v>
      </c>
      <c r="F77" s="450" t="n">
        <v>0</v>
      </c>
      <c r="G77" s="450" t="n">
        <v>0</v>
      </c>
      <c r="H77" s="450" t="n">
        <v>0</v>
      </c>
      <c r="I77" s="450" t="n">
        <v>0</v>
      </c>
      <c r="J77" s="450" t="n">
        <v>0</v>
      </c>
      <c r="K77" s="450" t="n">
        <v>0</v>
      </c>
      <c r="L77" s="450" t="n">
        <v>0</v>
      </c>
      <c r="M77" s="450" t="n">
        <v>0</v>
      </c>
      <c r="N77" s="451">
        <f>SUM(B77:M77)</f>
        <v/>
      </c>
    </row>
    <row r="78">
      <c r="A78" s="447" t="inlineStr">
        <is>
          <t>► EGRESOS NT - EVENTOS</t>
        </is>
      </c>
      <c r="B78" s="448" t="n"/>
      <c r="C78" s="448" t="n"/>
      <c r="D78" s="448" t="n"/>
      <c r="E78" s="448" t="n"/>
      <c r="F78" s="448" t="n"/>
      <c r="G78" s="448" t="n"/>
      <c r="H78" s="448" t="n"/>
      <c r="I78" s="448" t="n"/>
      <c r="J78" s="448" t="n"/>
      <c r="K78" s="448" t="n"/>
      <c r="L78" s="448" t="n"/>
      <c r="M78" s="448" t="n"/>
      <c r="N78" s="448" t="n"/>
    </row>
    <row r="79">
      <c r="A79" s="449" t="inlineStr">
        <is>
          <t>Día del Niño NT</t>
        </is>
      </c>
      <c r="B79" s="450" t="n">
        <v>0</v>
      </c>
      <c r="C79" s="450" t="n">
        <v>0</v>
      </c>
      <c r="D79" s="450" t="n">
        <v>0</v>
      </c>
      <c r="E79" s="450" t="n">
        <v>0</v>
      </c>
      <c r="F79" s="450" t="n">
        <v>0</v>
      </c>
      <c r="G79" s="450" t="n">
        <v>0</v>
      </c>
      <c r="H79" s="450" t="n">
        <v>0</v>
      </c>
      <c r="I79" s="450" t="n">
        <v>0</v>
      </c>
      <c r="J79" s="450" t="n">
        <v>0</v>
      </c>
      <c r="K79" s="450" t="n">
        <v>0</v>
      </c>
      <c r="L79" s="450" t="n">
        <v>0</v>
      </c>
      <c r="M79" s="450" t="n">
        <v>0</v>
      </c>
      <c r="N79" s="451">
        <f>SUM(B79:M79)</f>
        <v/>
      </c>
    </row>
    <row r="80">
      <c r="A80" s="449" t="inlineStr">
        <is>
          <t>San Juan NT</t>
        </is>
      </c>
      <c r="B80" s="450" t="n">
        <v>0</v>
      </c>
      <c r="C80" s="450" t="n">
        <v>0</v>
      </c>
      <c r="D80" s="450" t="n">
        <v>0</v>
      </c>
      <c r="E80" s="450" t="n">
        <v>0</v>
      </c>
      <c r="F80" s="450" t="n">
        <v>0</v>
      </c>
      <c r="G80" s="450" t="n">
        <v>0</v>
      </c>
      <c r="H80" s="450" t="n">
        <v>0</v>
      </c>
      <c r="I80" s="450" t="n">
        <v>0</v>
      </c>
      <c r="J80" s="450" t="n">
        <v>0</v>
      </c>
      <c r="K80" s="450" t="n">
        <v>0</v>
      </c>
      <c r="L80" s="450" t="n">
        <v>0</v>
      </c>
      <c r="M80" s="450" t="n">
        <v>0</v>
      </c>
      <c r="N80" s="451">
        <f>SUM(B80:M80)</f>
        <v/>
      </c>
    </row>
    <row r="81">
      <c r="A81" s="449" t="inlineStr">
        <is>
          <t>Día del Autismo NT</t>
        </is>
      </c>
      <c r="B81" s="450" t="n">
        <v>0</v>
      </c>
      <c r="C81" s="450" t="n">
        <v>0</v>
      </c>
      <c r="D81" s="450" t="n">
        <v>0</v>
      </c>
      <c r="E81" s="450" t="n">
        <v>0</v>
      </c>
      <c r="F81" s="450" t="n">
        <v>0</v>
      </c>
      <c r="G81" s="450" t="n">
        <v>0</v>
      </c>
      <c r="H81" s="450" t="n">
        <v>0</v>
      </c>
      <c r="I81" s="450" t="n">
        <v>0</v>
      </c>
      <c r="J81" s="450" t="n">
        <v>0</v>
      </c>
      <c r="K81" s="450" t="n">
        <v>0</v>
      </c>
      <c r="L81" s="450" t="n">
        <v>0</v>
      </c>
      <c r="M81" s="450" t="n">
        <v>0</v>
      </c>
      <c r="N81" s="451">
        <f>SUM(B81:M81)</f>
        <v/>
      </c>
    </row>
    <row r="82">
      <c r="A82" s="449" t="inlineStr">
        <is>
          <t>Clausura Padres NT</t>
        </is>
      </c>
      <c r="B82" s="450" t="n">
        <v>0</v>
      </c>
      <c r="C82" s="450" t="n">
        <v>0</v>
      </c>
      <c r="D82" s="450" t="n">
        <v>0</v>
      </c>
      <c r="E82" s="450" t="n">
        <v>0</v>
      </c>
      <c r="F82" s="450" t="n">
        <v>0</v>
      </c>
      <c r="G82" s="450" t="n">
        <v>0</v>
      </c>
      <c r="H82" s="450" t="n">
        <v>0</v>
      </c>
      <c r="I82" s="450" t="n">
        <v>0</v>
      </c>
      <c r="J82" s="450" t="n">
        <v>0</v>
      </c>
      <c r="K82" s="450" t="n">
        <v>0</v>
      </c>
      <c r="L82" s="450" t="n">
        <v>0</v>
      </c>
      <c r="M82" s="450" t="n">
        <v>0</v>
      </c>
      <c r="N82" s="451">
        <f>SUM(B82:M82)</f>
        <v/>
      </c>
    </row>
    <row r="83">
      <c r="A83" s="449" t="inlineStr">
        <is>
          <t>Navidad Papá Noel NT</t>
        </is>
      </c>
      <c r="B83" s="450" t="n">
        <v>0</v>
      </c>
      <c r="C83" s="450" t="n">
        <v>0</v>
      </c>
      <c r="D83" s="450" t="n">
        <v>0</v>
      </c>
      <c r="E83" s="450" t="n">
        <v>0</v>
      </c>
      <c r="F83" s="450" t="n">
        <v>0</v>
      </c>
      <c r="G83" s="450" t="n">
        <v>0</v>
      </c>
      <c r="H83" s="450" t="n">
        <v>0</v>
      </c>
      <c r="I83" s="450" t="n">
        <v>0</v>
      </c>
      <c r="J83" s="450" t="n">
        <v>0</v>
      </c>
      <c r="K83" s="450" t="n">
        <v>0</v>
      </c>
      <c r="L83" s="450" t="n">
        <v>0</v>
      </c>
      <c r="M83" s="450" t="n">
        <v>0</v>
      </c>
      <c r="N83" s="451">
        <f>SUM(B83:M83)</f>
        <v/>
      </c>
    </row>
    <row r="84">
      <c r="A84" s="449" t="inlineStr">
        <is>
          <t>Cena Fin de Año NT</t>
        </is>
      </c>
      <c r="B84" s="450" t="n">
        <v>0</v>
      </c>
      <c r="C84" s="450" t="n">
        <v>0</v>
      </c>
      <c r="D84" s="450" t="n">
        <v>0</v>
      </c>
      <c r="E84" s="450" t="n">
        <v>0</v>
      </c>
      <c r="F84" s="450" t="n">
        <v>0</v>
      </c>
      <c r="G84" s="450" t="n">
        <v>0</v>
      </c>
      <c r="H84" s="450" t="n">
        <v>0</v>
      </c>
      <c r="I84" s="450" t="n">
        <v>0</v>
      </c>
      <c r="J84" s="450" t="n">
        <v>0</v>
      </c>
      <c r="K84" s="450" t="n">
        <v>0</v>
      </c>
      <c r="L84" s="450" t="n">
        <v>0</v>
      </c>
      <c r="M84" s="450" t="n">
        <v>0</v>
      </c>
      <c r="N84" s="451">
        <f>SUM(B84:M84)</f>
        <v/>
      </c>
    </row>
    <row r="85">
      <c r="A85" s="447" t="inlineStr">
        <is>
          <t>► EGRESOS NT - VARIABLES</t>
        </is>
      </c>
      <c r="B85" s="448" t="n"/>
      <c r="C85" s="448" t="n"/>
      <c r="D85" s="448" t="n"/>
      <c r="E85" s="448" t="n"/>
      <c r="F85" s="448" t="n"/>
      <c r="G85" s="448" t="n"/>
      <c r="H85" s="448" t="n"/>
      <c r="I85" s="448" t="n"/>
      <c r="J85" s="448" t="n"/>
      <c r="K85" s="448" t="n"/>
      <c r="L85" s="448" t="n"/>
      <c r="M85" s="448" t="n"/>
      <c r="N85" s="448" t="n"/>
    </row>
    <row r="86">
      <c r="A86" s="449" t="inlineStr">
        <is>
          <t>Insumos NT</t>
        </is>
      </c>
      <c r="B86" s="450" t="n">
        <v>0</v>
      </c>
      <c r="C86" s="450" t="n">
        <v>0</v>
      </c>
      <c r="D86" s="450" t="n">
        <v>0</v>
      </c>
      <c r="E86" s="450" t="n">
        <v>0</v>
      </c>
      <c r="F86" s="450" t="n">
        <v>0</v>
      </c>
      <c r="G86" s="450" t="n">
        <v>0</v>
      </c>
      <c r="H86" s="450" t="n">
        <v>0</v>
      </c>
      <c r="I86" s="450" t="n">
        <v>0</v>
      </c>
      <c r="J86" s="450" t="n">
        <v>0</v>
      </c>
      <c r="K86" s="450" t="n">
        <v>0</v>
      </c>
      <c r="L86" s="450" t="n">
        <v>0</v>
      </c>
      <c r="M86" s="450" t="n">
        <v>0</v>
      </c>
      <c r="N86" s="451">
        <f>SUM(B86:M86)</f>
        <v/>
      </c>
    </row>
    <row r="87">
      <c r="A87" s="449" t="inlineStr">
        <is>
          <t>Papelería NT</t>
        </is>
      </c>
      <c r="B87" s="450" t="n">
        <v>0</v>
      </c>
      <c r="C87" s="450" t="n">
        <v>0</v>
      </c>
      <c r="D87" s="450" t="n">
        <v>0</v>
      </c>
      <c r="E87" s="450" t="n">
        <v>0</v>
      </c>
      <c r="F87" s="450" t="n">
        <v>0</v>
      </c>
      <c r="G87" s="450" t="n">
        <v>0</v>
      </c>
      <c r="H87" s="450" t="n">
        <v>0</v>
      </c>
      <c r="I87" s="450" t="n">
        <v>0</v>
      </c>
      <c r="J87" s="450" t="n">
        <v>0</v>
      </c>
      <c r="K87" s="450" t="n">
        <v>0</v>
      </c>
      <c r="L87" s="450" t="n">
        <v>0</v>
      </c>
      <c r="M87" s="450" t="n">
        <v>0</v>
      </c>
      <c r="N87" s="451">
        <f>SUM(B87:M87)</f>
        <v/>
      </c>
    </row>
    <row r="88">
      <c r="A88" s="449" t="inlineStr">
        <is>
          <t>Mantenimiento NT</t>
        </is>
      </c>
      <c r="B88" s="450" t="n">
        <v>0</v>
      </c>
      <c r="C88" s="450" t="n">
        <v>0</v>
      </c>
      <c r="D88" s="450" t="n">
        <v>0</v>
      </c>
      <c r="E88" s="450" t="n">
        <v>0</v>
      </c>
      <c r="F88" s="450" t="n">
        <v>0</v>
      </c>
      <c r="G88" s="450" t="n">
        <v>0</v>
      </c>
      <c r="H88" s="450" t="n">
        <v>0</v>
      </c>
      <c r="I88" s="450" t="n">
        <v>0</v>
      </c>
      <c r="J88" s="450" t="n">
        <v>0</v>
      </c>
      <c r="K88" s="450" t="n">
        <v>0</v>
      </c>
      <c r="L88" s="450" t="n">
        <v>0</v>
      </c>
      <c r="M88" s="450" t="n">
        <v>0</v>
      </c>
      <c r="N88" s="451">
        <f>SUM(B88:M88)</f>
        <v/>
      </c>
    </row>
    <row r="89">
      <c r="A89" s="449" t="inlineStr">
        <is>
          <t>Gastos Cursos NT</t>
        </is>
      </c>
      <c r="B89" s="450" t="n">
        <v>0</v>
      </c>
      <c r="C89" s="450" t="n">
        <v>0</v>
      </c>
      <c r="D89" s="450" t="n">
        <v>0</v>
      </c>
      <c r="E89" s="450" t="n">
        <v>0</v>
      </c>
      <c r="F89" s="450" t="n">
        <v>0</v>
      </c>
      <c r="G89" s="450" t="n">
        <v>0</v>
      </c>
      <c r="H89" s="450" t="n">
        <v>0</v>
      </c>
      <c r="I89" s="450" t="n">
        <v>0</v>
      </c>
      <c r="J89" s="450" t="n">
        <v>0</v>
      </c>
      <c r="K89" s="450" t="n">
        <v>0</v>
      </c>
      <c r="L89" s="450" t="n">
        <v>0</v>
      </c>
      <c r="M89" s="450" t="n">
        <v>0</v>
      </c>
      <c r="N89" s="451">
        <f>SUM(B89:M89)</f>
        <v/>
      </c>
    </row>
    <row r="90">
      <c r="A90" s="449" t="inlineStr">
        <is>
          <t>Gastos Varios NT</t>
        </is>
      </c>
      <c r="B90" s="450" t="n">
        <v>0</v>
      </c>
      <c r="C90" s="450" t="n">
        <v>0</v>
      </c>
      <c r="D90" s="450" t="n">
        <v>0</v>
      </c>
      <c r="E90" s="450" t="n">
        <v>0</v>
      </c>
      <c r="F90" s="450" t="n">
        <v>0</v>
      </c>
      <c r="G90" s="450" t="n">
        <v>0</v>
      </c>
      <c r="H90" s="450" t="n">
        <v>0</v>
      </c>
      <c r="I90" s="450" t="n">
        <v>0</v>
      </c>
      <c r="J90" s="450" t="n">
        <v>0</v>
      </c>
      <c r="K90" s="450" t="n">
        <v>0</v>
      </c>
      <c r="L90" s="450" t="n">
        <v>0</v>
      </c>
      <c r="M90" s="450" t="n">
        <v>0</v>
      </c>
      <c r="N90" s="451">
        <f>SUM(B90:M90)</f>
        <v/>
      </c>
    </row>
    <row r="91">
      <c r="A91" s="452" t="inlineStr">
        <is>
          <t>TOTAL EGRESOS NEUROTEA</t>
        </is>
      </c>
      <c r="B91" s="453">
        <f>SUM(B61:B90)</f>
        <v/>
      </c>
      <c r="C91" s="453">
        <f>SUM(C61:C90)</f>
        <v/>
      </c>
      <c r="D91" s="453">
        <f>SUM(D61:D90)</f>
        <v/>
      </c>
      <c r="E91" s="453">
        <f>SUM(E61:E90)</f>
        <v/>
      </c>
      <c r="F91" s="453">
        <f>SUM(F61:F90)</f>
        <v/>
      </c>
      <c r="G91" s="453">
        <f>SUM(G61:G90)</f>
        <v/>
      </c>
      <c r="H91" s="453">
        <f>SUM(H61:H90)</f>
        <v/>
      </c>
      <c r="I91" s="453">
        <f>SUM(I61:I90)</f>
        <v/>
      </c>
      <c r="J91" s="453">
        <f>SUM(J61:J90)</f>
        <v/>
      </c>
      <c r="K91" s="453">
        <f>SUM(K61:K90)</f>
        <v/>
      </c>
      <c r="L91" s="453">
        <f>SUM(L61:L90)</f>
        <v/>
      </c>
      <c r="M91" s="453">
        <f>SUM(M61:M90)</f>
        <v/>
      </c>
      <c r="N91" s="453">
        <f>SUM(N61:N90)</f>
        <v/>
      </c>
    </row>
    <row r="92">
      <c r="A92" s="454" t="inlineStr">
        <is>
          <t>BALANCE NEUROTEA (Ingresos - Egresos)</t>
        </is>
      </c>
      <c r="B92" s="455">
        <f>B59-B91</f>
        <v/>
      </c>
      <c r="C92" s="455">
        <f>C59-C91</f>
        <v/>
      </c>
      <c r="D92" s="455">
        <f>D59-D91</f>
        <v/>
      </c>
      <c r="E92" s="455">
        <f>E59-E91</f>
        <v/>
      </c>
      <c r="F92" s="455">
        <f>F59-F91</f>
        <v/>
      </c>
      <c r="G92" s="455">
        <f>G59-G91</f>
        <v/>
      </c>
      <c r="H92" s="455">
        <f>H59-H91</f>
        <v/>
      </c>
      <c r="I92" s="455">
        <f>I59-I91</f>
        <v/>
      </c>
      <c r="J92" s="455">
        <f>J59-J91</f>
        <v/>
      </c>
      <c r="K92" s="455">
        <f>K59-K91</f>
        <v/>
      </c>
      <c r="L92" s="455">
        <f>L59-L91</f>
        <v/>
      </c>
      <c r="M92" s="455">
        <f>M59-M91</f>
        <v/>
      </c>
      <c r="N92" s="455">
        <f>N59-N91</f>
        <v/>
      </c>
    </row>
    <row r="94">
      <c r="A94" s="456" t="inlineStr">
        <is>
          <t>BALANCE TOTAL CONSOLIDADO</t>
        </is>
      </c>
      <c r="B94" s="457">
        <f>B51+B92</f>
        <v/>
      </c>
      <c r="C94" s="457">
        <f>C51+C92</f>
        <v/>
      </c>
      <c r="D94" s="457">
        <f>D51+D92</f>
        <v/>
      </c>
      <c r="E94" s="457">
        <f>E51+E92</f>
        <v/>
      </c>
      <c r="F94" s="457">
        <f>F51+F92</f>
        <v/>
      </c>
      <c r="G94" s="457">
        <f>G51+G92</f>
        <v/>
      </c>
      <c r="H94" s="457">
        <f>H51+H92</f>
        <v/>
      </c>
      <c r="I94" s="457">
        <f>I51+I92</f>
        <v/>
      </c>
      <c r="J94" s="457">
        <f>J51+J92</f>
        <v/>
      </c>
      <c r="K94" s="457">
        <f>K51+K92</f>
        <v/>
      </c>
      <c r="L94" s="457">
        <f>L51+L92</f>
        <v/>
      </c>
      <c r="M94" s="457">
        <f>M51+M92</f>
        <v/>
      </c>
      <c r="N94" s="457">
        <f>N51+N92</f>
        <v/>
      </c>
    </row>
  </sheetData>
  <mergeCells count="4">
    <mergeCell ref="A5:N5"/>
    <mergeCell ref="A2:N2"/>
    <mergeCell ref="A53:N5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50" customWidth="1" style="220" min="1" max="1"/>
    <col width="20" customWidth="1" style="220" min="2" max="2"/>
    <col width="25" customWidth="1" style="220" min="3" max="3"/>
    <col width="15" customWidth="1" style="220" min="4" max="4"/>
  </cols>
  <sheetData>
    <row r="1" ht="17.25" customHeight="1" s="221">
      <c r="A1" s="274" t="inlineStr">
        <is>
          <t>📋 DIAGNÓSTICO INICIAL - Completar una sola vez</t>
        </is>
      </c>
    </row>
    <row r="3" ht="15" customHeight="1" s="221">
      <c r="A3" s="223" t="inlineStr">
        <is>
          <t>Fecha del diagnóstico:</t>
        </is>
      </c>
      <c r="B3" s="275" t="n"/>
    </row>
    <row r="5" ht="15" customHeight="1" s="221">
      <c r="A5" s="245" t="inlineStr">
        <is>
          <t>═══ 💰 CAJA DISPONIBLE HOY ═══</t>
        </is>
      </c>
    </row>
    <row r="6" ht="15" customHeight="1" s="221">
      <c r="A6" s="227" t="inlineStr">
        <is>
          <t>Cuenta</t>
        </is>
      </c>
      <c r="B6" s="227" t="inlineStr">
        <is>
          <t>Saldo actual</t>
        </is>
      </c>
      <c r="C6" s="227" t="inlineStr">
        <is>
          <t>Notas</t>
        </is>
      </c>
    </row>
    <row r="7" ht="15" customHeight="1" s="221">
      <c r="A7" s="234" t="inlineStr">
        <is>
          <t>Atlas (NeuroTEA)</t>
        </is>
      </c>
      <c r="B7" s="276" t="n">
        <v>0</v>
      </c>
      <c r="C7" s="234" t="inlineStr">
        <is>
          <t>Cuenta de la clínica</t>
        </is>
      </c>
    </row>
    <row r="8" ht="15" customHeight="1" s="221">
      <c r="A8" s="234" t="inlineStr">
        <is>
          <t>ITAU Marco</t>
        </is>
      </c>
      <c r="B8" s="277" t="n">
        <v>0</v>
      </c>
      <c r="C8" s="234" t="inlineStr">
        <is>
          <t>Cuenta personal Marco</t>
        </is>
      </c>
    </row>
    <row r="9" ht="15" customHeight="1" s="221">
      <c r="A9" s="234" t="inlineStr">
        <is>
          <t>ITAU Clara</t>
        </is>
      </c>
      <c r="B9" s="276" t="n">
        <v>0</v>
      </c>
      <c r="C9" s="234" t="inlineStr">
        <is>
          <t>Cuenta personal Clara</t>
        </is>
      </c>
    </row>
    <row r="10" ht="15" customHeight="1" s="221">
      <c r="A10" s="234" t="inlineStr">
        <is>
          <t>UENO Clara</t>
        </is>
      </c>
      <c r="B10" s="277" t="n">
        <v>0</v>
      </c>
      <c r="C10" s="234" t="inlineStr">
        <is>
          <t>Cuenta secundaria Clara</t>
        </is>
      </c>
    </row>
    <row r="11" ht="15" customHeight="1" s="221">
      <c r="A11" s="234" t="inlineStr">
        <is>
          <t>Coop. Univ. Marco</t>
        </is>
      </c>
      <c r="B11" s="276" t="n">
        <v>0</v>
      </c>
      <c r="C11" s="234" t="inlineStr">
        <is>
          <t>Cooperativa</t>
        </is>
      </c>
    </row>
    <row r="12" ht="15" customHeight="1" s="221">
      <c r="A12" s="234" t="inlineStr">
        <is>
          <t>Caja NT</t>
        </is>
      </c>
      <c r="B12" s="277" t="n">
        <v>0</v>
      </c>
      <c r="C12" s="234" t="inlineStr">
        <is>
          <t>Efectivo en la clínica</t>
        </is>
      </c>
    </row>
    <row r="13" ht="15" customHeight="1" s="221">
      <c r="A13" s="234" t="inlineStr">
        <is>
          <t>Efectivo en mano</t>
        </is>
      </c>
      <c r="B13" s="276" t="n">
        <v>0</v>
      </c>
      <c r="C13" s="234" t="inlineStr">
        <is>
          <t>Efectivo personal</t>
        </is>
      </c>
    </row>
    <row r="14" ht="17.25" customHeight="1" s="221">
      <c r="A14" s="278" t="inlineStr">
        <is>
          <t>TOTAL CAJA DISPONIBLE:</t>
        </is>
      </c>
      <c r="B14" s="279">
        <f>SUM(B7:B13)</f>
        <v/>
      </c>
    </row>
    <row r="16" ht="15" customHeight="1" s="221">
      <c r="A16" s="226" t="inlineStr">
        <is>
          <t>═══ 📉 GASTOS MENSUALES ESENCIALES ═══</t>
        </is>
      </c>
    </row>
    <row r="17" ht="15" customHeight="1" s="221">
      <c r="A17" s="280" t="inlineStr">
        <is>
          <t>Concepto</t>
        </is>
      </c>
      <c r="B17" s="280" t="inlineStr">
        <is>
          <t>Monto mensual</t>
        </is>
      </c>
    </row>
    <row r="18" ht="15" customHeight="1" s="221">
      <c r="A18" s="281" t="inlineStr">
        <is>
          <t>Gastos fijos Familia (salarios, escuela, servicios)</t>
        </is>
      </c>
      <c r="B18" s="282" t="n">
        <v>0</v>
      </c>
    </row>
    <row r="19" ht="15" customHeight="1" s="221">
      <c r="A19" s="281" t="inlineStr">
        <is>
          <t>Cuotas y préstamos Familia</t>
        </is>
      </c>
      <c r="B19" s="283" t="n">
        <v>0</v>
      </c>
    </row>
    <row r="20" ht="15" customHeight="1" s="221">
      <c r="A20" s="281" t="inlineStr">
        <is>
          <t>Gastos fijos NeuroTEA (alquiler, sueldos)</t>
        </is>
      </c>
      <c r="B20" s="282" t="n">
        <v>0</v>
      </c>
    </row>
    <row r="21" ht="15" customHeight="1" s="221">
      <c r="A21" s="281" t="inlineStr">
        <is>
          <t>IPS + IVA</t>
        </is>
      </c>
      <c r="B21" s="283" t="n">
        <v>0</v>
      </c>
    </row>
    <row r="22" ht="15" customHeight="1" s="221">
      <c r="A22" s="281" t="inlineStr">
        <is>
          <t>Gastos personales mínimos (comida, transporte)</t>
        </is>
      </c>
      <c r="B22" s="282" t="n">
        <v>0</v>
      </c>
    </row>
    <row r="23" ht="17.25" customHeight="1" s="221">
      <c r="A23" s="278" t="inlineStr">
        <is>
          <t>TOTAL GASTOS MENSUALES:</t>
        </is>
      </c>
      <c r="B23" s="284">
        <f>SUM(B18:B22)</f>
        <v/>
      </c>
    </row>
    <row r="25" ht="15" customHeight="1" s="221">
      <c r="A25" s="285" t="inlineStr">
        <is>
          <t>═══ ⏱️ DÍAS DE OXÍGENO ═══</t>
        </is>
      </c>
    </row>
    <row r="26" ht="15" customHeight="1" s="221">
      <c r="A26" s="220" t="inlineStr">
        <is>
          <t>Gasto diario promedio:</t>
        </is>
      </c>
      <c r="B26" s="286">
        <f>B23/30</f>
        <v/>
      </c>
    </row>
    <row r="27" ht="21.75" customHeight="1" s="221">
      <c r="A27" s="278" t="inlineStr">
        <is>
          <t>DÍAS QUE PODÉS OPERAR:</t>
        </is>
      </c>
      <c r="B27" s="287">
        <f>IF(B26=0,0,ROUND(B14/B26,0))</f>
        <v/>
      </c>
      <c r="C27" s="288">
        <f>IF(B27&gt;=90,"🟢 ESTABLE",IF(B27&gt;=30,"🟡 ALERTA","🔴 EMERGENCIA"))</f>
        <v/>
      </c>
    </row>
  </sheetData>
  <mergeCells count="4">
    <mergeCell ref="A5:D5"/>
    <mergeCell ref="A25:D25"/>
    <mergeCell ref="A1:F1"/>
    <mergeCell ref="A16:D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3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M11" activeCellId="0" sqref="M11"/>
    </sheetView>
  </sheetViews>
  <sheetFormatPr baseColWidth="8" defaultColWidth="8.71484375" defaultRowHeight="15" zeroHeight="0" outlineLevelRow="0"/>
  <cols>
    <col width="10" customWidth="1" style="220" min="1" max="1"/>
    <col width="22" customWidth="1" style="220" min="2" max="2"/>
    <col width="12" customWidth="1" style="220" min="3" max="3"/>
    <col width="20" customWidth="1" style="220" min="4" max="4"/>
    <col width="15" customWidth="1" style="220" min="5" max="6"/>
    <col width="13.86" customWidth="1" style="220" min="7" max="7"/>
    <col width="12" customWidth="1" style="220" min="8" max="8"/>
  </cols>
  <sheetData>
    <row r="1" ht="17.25" customHeight="1" s="221">
      <c r="A1" s="289" t="inlineStr">
        <is>
          <t>📋 REGISTRO DE DEUDAS - Ordenar por prioridad de pago</t>
        </is>
      </c>
    </row>
    <row r="3" ht="15" customHeight="1" s="221">
      <c r="A3" s="290" t="inlineStr">
        <is>
          <t>⚠️ PRIORIDAD: 1=IPS/Impuestos, 2=Salarios, 3=Alquiler/Servicios, 4=Proveedores, 5=Bancos/Tarjetas, 6=Familiares</t>
        </is>
      </c>
    </row>
    <row r="5" ht="15" customHeight="1" s="221">
      <c r="A5" s="227" t="inlineStr">
        <is>
          <t>Prior.</t>
        </is>
      </c>
      <c r="B5" s="227" t="inlineStr">
        <is>
          <t>Acreedor</t>
        </is>
      </c>
      <c r="C5" s="227" t="inlineStr">
        <is>
          <t>Tipo</t>
        </is>
      </c>
      <c r="D5" s="227" t="inlineStr">
        <is>
          <t>Detalle</t>
        </is>
      </c>
      <c r="E5" s="227" t="inlineStr">
        <is>
          <t>Monto Total</t>
        </is>
      </c>
      <c r="F5" s="227" t="inlineStr">
        <is>
          <t>Cuota Mensual</t>
        </is>
      </c>
      <c r="G5" s="227" t="inlineStr">
        <is>
          <t>Cuotas Pend.</t>
        </is>
      </c>
      <c r="H5" s="227" t="inlineStr">
        <is>
          <t>Estado</t>
        </is>
      </c>
    </row>
    <row r="6" ht="15" customHeight="1" s="221">
      <c r="A6" s="233" t="n">
        <v>1</v>
      </c>
      <c r="B6" s="233" t="inlineStr">
        <is>
          <t>IPS</t>
        </is>
      </c>
      <c r="C6" s="233" t="inlineStr">
        <is>
          <t>Impuesto</t>
        </is>
      </c>
      <c r="D6" s="233" t="inlineStr">
        <is>
          <t>Aportes patronales</t>
        </is>
      </c>
      <c r="E6" s="291" t="n">
        <v>0</v>
      </c>
      <c r="F6" s="291" t="n">
        <v>0</v>
      </c>
      <c r="G6" s="233" t="n">
        <v>0</v>
      </c>
      <c r="H6" s="233" t="inlineStr">
        <is>
          <t>Pendiente</t>
        </is>
      </c>
    </row>
    <row r="7" ht="15" customHeight="1" s="221">
      <c r="A7" s="239" t="n">
        <v>1</v>
      </c>
      <c r="B7" s="239" t="inlineStr">
        <is>
          <t>SET (IVA)</t>
        </is>
      </c>
      <c r="C7" s="239" t="inlineStr">
        <is>
          <t>Impuesto</t>
        </is>
      </c>
      <c r="D7" s="239" t="inlineStr">
        <is>
          <t>IVA mensual</t>
        </is>
      </c>
      <c r="E7" s="292" t="n">
        <v>0</v>
      </c>
      <c r="F7" s="292" t="n">
        <v>0</v>
      </c>
      <c r="G7" s="239" t="n">
        <v>0</v>
      </c>
      <c r="H7" s="239" t="inlineStr">
        <is>
          <t>Pendiente</t>
        </is>
      </c>
    </row>
    <row r="8" ht="15" customHeight="1" s="221">
      <c r="A8" s="233" t="n">
        <v>2</v>
      </c>
      <c r="B8" s="233" t="inlineStr">
        <is>
          <t>Aracely</t>
        </is>
      </c>
      <c r="C8" s="233" t="inlineStr">
        <is>
          <t>Salario</t>
        </is>
      </c>
      <c r="D8" s="233" t="inlineStr">
        <is>
          <t>Sueldo secretaria</t>
        </is>
      </c>
      <c r="E8" s="291" t="n">
        <v>0</v>
      </c>
      <c r="F8" s="291" t="n">
        <v>0</v>
      </c>
      <c r="G8" s="233" t="n">
        <v>1</v>
      </c>
      <c r="H8" s="233" t="inlineStr">
        <is>
          <t>Pendiente</t>
        </is>
      </c>
    </row>
    <row r="9" ht="15" customHeight="1" s="221">
      <c r="A9" s="239" t="n">
        <v>2</v>
      </c>
      <c r="B9" s="239" t="inlineStr">
        <is>
          <t>Fátima</t>
        </is>
      </c>
      <c r="C9" s="239" t="inlineStr">
        <is>
          <t>Salario</t>
        </is>
      </c>
      <c r="D9" s="239" t="inlineStr">
        <is>
          <t>Sueldo secretaria</t>
        </is>
      </c>
      <c r="E9" s="292" t="n">
        <v>0</v>
      </c>
      <c r="F9" s="292" t="n">
        <v>0</v>
      </c>
      <c r="G9" s="239" t="n">
        <v>1</v>
      </c>
      <c r="H9" s="239" t="inlineStr">
        <is>
          <t>Pendiente</t>
        </is>
      </c>
    </row>
    <row r="10" ht="15" customHeight="1" s="221">
      <c r="A10" s="233" t="n">
        <v>3</v>
      </c>
      <c r="B10" s="233" t="inlineStr">
        <is>
          <t>Alquiler local</t>
        </is>
      </c>
      <c r="C10" s="233" t="inlineStr">
        <is>
          <t>Alquiler</t>
        </is>
      </c>
      <c r="D10" s="233" t="inlineStr">
        <is>
          <t>Local NeuroTEA</t>
        </is>
      </c>
      <c r="E10" s="291" t="n">
        <v>0</v>
      </c>
      <c r="F10" s="291" t="n">
        <v>0</v>
      </c>
      <c r="G10" s="233" t="n">
        <v>1</v>
      </c>
      <c r="H10" s="233" t="inlineStr">
        <is>
          <t>Pendiente</t>
        </is>
      </c>
    </row>
    <row r="11" ht="15" customHeight="1" s="221">
      <c r="A11" s="239" t="n">
        <v>4</v>
      </c>
      <c r="B11" s="239" t="inlineStr">
        <is>
          <t>Contador</t>
        </is>
      </c>
      <c r="C11" s="239" t="inlineStr">
        <is>
          <t>Servicio</t>
        </is>
      </c>
      <c r="D11" s="239" t="inlineStr">
        <is>
          <t>Honorarios</t>
        </is>
      </c>
      <c r="E11" s="292" t="n">
        <v>0</v>
      </c>
      <c r="F11" s="292" t="n">
        <v>0</v>
      </c>
      <c r="G11" s="239" t="n">
        <v>0</v>
      </c>
      <c r="H11" s="239" t="inlineStr">
        <is>
          <t>Pendiente</t>
        </is>
      </c>
    </row>
    <row r="12" ht="15" customHeight="1" s="221">
      <c r="A12" s="233" t="n">
        <v>5</v>
      </c>
      <c r="B12" s="233" t="inlineStr">
        <is>
          <t>Solar Préstamo 1</t>
        </is>
      </c>
      <c r="C12" s="233" t="inlineStr">
        <is>
          <t>Préstamo</t>
        </is>
      </c>
      <c r="D12" s="233" t="n"/>
      <c r="E12" s="291" t="n">
        <v>0</v>
      </c>
      <c r="F12" s="291" t="n">
        <v>0</v>
      </c>
      <c r="G12" s="233" t="n">
        <v>0</v>
      </c>
      <c r="H12" s="233" t="inlineStr">
        <is>
          <t>Pendiente</t>
        </is>
      </c>
    </row>
    <row r="13" ht="15" customHeight="1" s="221">
      <c r="A13" s="239" t="n">
        <v>5</v>
      </c>
      <c r="B13" s="239" t="inlineStr">
        <is>
          <t>Solar Préstamo 2</t>
        </is>
      </c>
      <c r="C13" s="239" t="inlineStr">
        <is>
          <t>Préstamo</t>
        </is>
      </c>
      <c r="D13" s="239" t="n"/>
      <c r="E13" s="292" t="n">
        <v>0</v>
      </c>
      <c r="F13" s="292" t="n">
        <v>0</v>
      </c>
      <c r="G13" s="239" t="n">
        <v>0</v>
      </c>
      <c r="H13" s="239" t="inlineStr">
        <is>
          <t>Pendiente</t>
        </is>
      </c>
    </row>
    <row r="14" ht="15" customHeight="1" s="221">
      <c r="A14" s="233" t="n">
        <v>5</v>
      </c>
      <c r="B14" s="233" t="inlineStr">
        <is>
          <t>Coop. Universitaria</t>
        </is>
      </c>
      <c r="C14" s="233" t="inlineStr">
        <is>
          <t>Préstamo</t>
        </is>
      </c>
      <c r="D14" s="233" t="n"/>
      <c r="E14" s="291" t="n">
        <v>0</v>
      </c>
      <c r="F14" s="291" t="n">
        <v>0</v>
      </c>
      <c r="G14" s="233" t="n">
        <v>0</v>
      </c>
      <c r="H14" s="233" t="inlineStr">
        <is>
          <t>Pendiente</t>
        </is>
      </c>
    </row>
    <row r="15" ht="15" customHeight="1" s="221">
      <c r="A15" s="239" t="n">
        <v>5</v>
      </c>
      <c r="B15" s="239" t="inlineStr">
        <is>
          <t>Coomecipar Clara</t>
        </is>
      </c>
      <c r="C15" s="239" t="inlineStr">
        <is>
          <t>Préstamo</t>
        </is>
      </c>
      <c r="D15" s="239" t="n"/>
      <c r="E15" s="292" t="n">
        <v>0</v>
      </c>
      <c r="F15" s="292" t="n">
        <v>0</v>
      </c>
      <c r="G15" s="239" t="n">
        <v>0</v>
      </c>
      <c r="H15" s="239" t="inlineStr">
        <is>
          <t>Pendiente</t>
        </is>
      </c>
    </row>
    <row r="16" ht="15" customHeight="1" s="221">
      <c r="A16" s="233" t="n">
        <v>5</v>
      </c>
      <c r="B16" s="233" t="inlineStr">
        <is>
          <t>Tarjeta Coomecipar</t>
        </is>
      </c>
      <c r="C16" s="233" t="inlineStr">
        <is>
          <t>Tarjeta</t>
        </is>
      </c>
      <c r="D16" s="233" t="n"/>
      <c r="E16" s="291" t="n">
        <v>0</v>
      </c>
      <c r="F16" s="291" t="n">
        <v>0</v>
      </c>
      <c r="G16" s="233" t="n">
        <v>0</v>
      </c>
      <c r="H16" s="233" t="inlineStr">
        <is>
          <t>Pendiente</t>
        </is>
      </c>
    </row>
    <row r="17" ht="15" customHeight="1" s="221">
      <c r="A17" s="239" t="n">
        <v>5</v>
      </c>
      <c r="B17" s="239" t="inlineStr">
        <is>
          <t>Auto Laura</t>
        </is>
      </c>
      <c r="C17" s="239" t="inlineStr">
        <is>
          <t>Préstamo</t>
        </is>
      </c>
      <c r="D17" s="239" t="inlineStr">
        <is>
          <t>Cuota vehículo</t>
        </is>
      </c>
      <c r="E17" s="292" t="n">
        <v>0</v>
      </c>
      <c r="F17" s="292" t="n">
        <v>0</v>
      </c>
      <c r="G17" s="239" t="n">
        <v>0</v>
      </c>
      <c r="H17" s="239" t="inlineStr">
        <is>
          <t>Pendiente</t>
        </is>
      </c>
    </row>
    <row r="18" ht="15" customHeight="1" s="221">
      <c r="A18" s="233" t="n">
        <v>6</v>
      </c>
      <c r="B18" s="233" t="inlineStr">
        <is>
          <t>Préstamo Lizzi</t>
        </is>
      </c>
      <c r="C18" s="233" t="inlineStr">
        <is>
          <t>Familiar</t>
        </is>
      </c>
      <c r="D18" s="233" t="inlineStr">
        <is>
          <t>Sueldos</t>
        </is>
      </c>
      <c r="E18" s="291" t="n">
        <v>0</v>
      </c>
      <c r="F18" s="291" t="n">
        <v>0</v>
      </c>
      <c r="G18" s="233" t="n">
        <v>0</v>
      </c>
      <c r="H18" s="233" t="inlineStr">
        <is>
          <t>Pendiente</t>
        </is>
      </c>
    </row>
    <row r="19" ht="15" customHeight="1" s="221">
      <c r="A19" s="239" t="n">
        <v>6</v>
      </c>
      <c r="B19" s="239" t="inlineStr">
        <is>
          <t>Show Congelador</t>
        </is>
      </c>
      <c r="C19" s="239" t="inlineStr">
        <is>
          <t>Familiar</t>
        </is>
      </c>
      <c r="D19" s="239" t="n"/>
      <c r="E19" s="292" t="n">
        <v>0</v>
      </c>
      <c r="F19" s="292" t="n">
        <v>0</v>
      </c>
      <c r="G19" s="239" t="n">
        <v>0</v>
      </c>
      <c r="H19" s="239" t="inlineStr">
        <is>
          <t>Pendiente</t>
        </is>
      </c>
    </row>
    <row r="20" ht="15" customHeight="1" s="221">
      <c r="A20" s="233" t="n">
        <v>6</v>
      </c>
      <c r="B20" s="233" t="inlineStr">
        <is>
          <t>Olier Heladera</t>
        </is>
      </c>
      <c r="C20" s="233" t="inlineStr">
        <is>
          <t>Familiar</t>
        </is>
      </c>
      <c r="D20" s="233" t="n"/>
      <c r="E20" s="291" t="n">
        <v>0</v>
      </c>
      <c r="F20" s="291" t="n">
        <v>0</v>
      </c>
      <c r="G20" s="233" t="n">
        <v>0</v>
      </c>
      <c r="H20" s="233" t="inlineStr">
        <is>
          <t>Pendiente</t>
        </is>
      </c>
    </row>
    <row r="21" ht="15" customHeight="1" s="221">
      <c r="A21" s="239" t="n"/>
      <c r="B21" s="239" t="n"/>
      <c r="C21" s="239" t="n"/>
      <c r="D21" s="239" t="n"/>
      <c r="E21" s="292" t="n"/>
      <c r="F21" s="292" t="n"/>
      <c r="G21" s="239" t="n"/>
      <c r="H21" s="239" t="n"/>
    </row>
    <row r="22" ht="15" customHeight="1" s="221">
      <c r="A22" s="233" t="n"/>
      <c r="B22" s="233" t="n"/>
      <c r="C22" s="233" t="n"/>
      <c r="D22" s="233" t="n"/>
      <c r="E22" s="291" t="n"/>
      <c r="F22" s="291" t="n"/>
      <c r="G22" s="233" t="n"/>
      <c r="H22" s="233" t="n"/>
    </row>
    <row r="23" ht="15" customHeight="1" s="221">
      <c r="A23" s="239" t="n"/>
      <c r="B23" s="239" t="n"/>
      <c r="C23" s="239" t="n"/>
      <c r="D23" s="239" t="n"/>
      <c r="E23" s="292" t="n"/>
      <c r="F23" s="292" t="n"/>
      <c r="G23" s="239" t="n"/>
      <c r="H23" s="239" t="n"/>
    </row>
    <row r="24" ht="15" customHeight="1" s="221">
      <c r="A24" s="233" t="n"/>
      <c r="B24" s="233" t="n"/>
      <c r="C24" s="233" t="n"/>
      <c r="D24" s="233" t="n"/>
      <c r="E24" s="291" t="n"/>
      <c r="F24" s="291" t="n"/>
      <c r="G24" s="233" t="n"/>
      <c r="H24" s="233" t="n"/>
    </row>
    <row r="25" ht="15" customHeight="1" s="221">
      <c r="A25" s="239" t="n"/>
      <c r="B25" s="239" t="n"/>
      <c r="C25" s="239" t="n"/>
      <c r="D25" s="239" t="n"/>
      <c r="E25" s="292" t="n"/>
      <c r="F25" s="292" t="n"/>
      <c r="G25" s="239" t="n"/>
      <c r="H25" s="239" t="n"/>
    </row>
    <row r="28" ht="15" customHeight="1" s="221">
      <c r="A28" s="278" t="inlineStr">
        <is>
          <t>TOTALES:</t>
        </is>
      </c>
      <c r="E28" s="293">
        <f>SUM(E6:E25)</f>
        <v/>
      </c>
      <c r="F28" s="293">
        <f>SUM(F6:F25)</f>
        <v/>
      </c>
    </row>
    <row r="30" ht="15" customHeight="1" s="221">
      <c r="A30" s="244" t="inlineStr">
        <is>
          <t>═══ 📊 RESUMEN POR PRIORIDAD ═══</t>
        </is>
      </c>
    </row>
    <row r="31" ht="15" customHeight="1" s="221">
      <c r="A31" s="281" t="inlineStr">
        <is>
          <t>Prioridad 1 (IPS/Impuestos)</t>
        </is>
      </c>
      <c r="B31" s="294">
        <f>SUMIF(A6:A25,1,F6:F25)</f>
        <v/>
      </c>
      <c r="C31" s="281" t="inlineStr">
        <is>
          <t>🔴 Pagar PRIMERO</t>
        </is>
      </c>
    </row>
    <row r="32" ht="15" customHeight="1" s="221">
      <c r="A32" s="281" t="inlineStr">
        <is>
          <t>Prioridad 2 (Salarios)</t>
        </is>
      </c>
      <c r="B32" s="295">
        <f>SUMIF(A6:A25,2,F6:F25)</f>
        <v/>
      </c>
      <c r="C32" s="281" t="inlineStr">
        <is>
          <t>🔴 Pagar SEGUNDO</t>
        </is>
      </c>
    </row>
    <row r="33" ht="15" customHeight="1" s="221">
      <c r="A33" s="281" t="inlineStr">
        <is>
          <t>Prioridad 3 (Alquiler/Servicios)</t>
        </is>
      </c>
      <c r="B33" s="294">
        <f>SUMIF(A6:A25,3,F6:F25)</f>
        <v/>
      </c>
      <c r="C33" s="281" t="inlineStr">
        <is>
          <t>🟡 Pagar TERCERO</t>
        </is>
      </c>
    </row>
    <row r="34" ht="15" customHeight="1" s="221">
      <c r="A34" s="281" t="inlineStr">
        <is>
          <t>Prioridad 4 (Proveedores)</t>
        </is>
      </c>
      <c r="B34" s="295">
        <f>SUMIF(A6:A25,4,F6:F25)</f>
        <v/>
      </c>
      <c r="C34" s="281" t="inlineStr">
        <is>
          <t>🟡 Negociar plazos</t>
        </is>
      </c>
    </row>
    <row r="35" ht="15" customHeight="1" s="221">
      <c r="A35" s="281" t="inlineStr">
        <is>
          <t>Prioridad 5 (Bancos/Tarjetas)</t>
        </is>
      </c>
      <c r="B35" s="294">
        <f>SUMIF(A6:A25,5,F6:F25)</f>
        <v/>
      </c>
      <c r="C35" s="281" t="inlineStr">
        <is>
          <t>🟢 Refinanciar si es necesario</t>
        </is>
      </c>
    </row>
    <row r="36" ht="15" customHeight="1" s="221">
      <c r="A36" s="281" t="inlineStr">
        <is>
          <t>Prioridad 6 (Familiares)</t>
        </is>
      </c>
      <c r="B36" s="295">
        <f>SUMIF(A6:A25,6,F6:F25)</f>
        <v/>
      </c>
      <c r="C36" s="281" t="inlineStr">
        <is>
          <t>🟢 Más flexible</t>
        </is>
      </c>
    </row>
  </sheetData>
  <mergeCells count="3">
    <mergeCell ref="A3:H3"/>
    <mergeCell ref="A30:D30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1ABC9C"/>
    <outlinePr summaryBelow="1" summaryRight="1"/>
    <pageSetUpPr fitToPage="0"/>
  </sheetPr>
  <dimension ref="A1:H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5" customWidth="1" style="220" min="1" max="3"/>
    <col width="12" customWidth="1" style="220" min="4" max="7"/>
    <col width="18" customWidth="1" style="220" min="8" max="8"/>
  </cols>
  <sheetData>
    <row r="1" ht="18" customHeight="1" s="221">
      <c r="A1" s="296" t="inlineStr">
        <is>
          <t>⚙️ CONFIGURACIÓN</t>
        </is>
      </c>
    </row>
    <row r="3" ht="15" customHeight="1" s="221">
      <c r="A3" s="297" t="inlineStr">
        <is>
          <t>Cat. Familiar</t>
        </is>
      </c>
      <c r="B3" s="297" t="inlineStr">
        <is>
          <t>Cat. NeuroTEA</t>
        </is>
      </c>
      <c r="C3" s="297" t="inlineStr">
        <is>
          <t>Eventos NT</t>
        </is>
      </c>
      <c r="D3" s="297" t="inlineStr">
        <is>
          <t>Eventos NT</t>
        </is>
      </c>
      <c r="E3" s="298" t="inlineStr">
        <is>
          <t>Cat. Ingresos</t>
        </is>
      </c>
      <c r="F3" s="298" t="inlineStr">
        <is>
          <t>Tipos</t>
        </is>
      </c>
      <c r="G3" s="299" t="inlineStr">
        <is>
          <t>Estados</t>
        </is>
      </c>
      <c r="H3" s="299" t="inlineStr">
        <is>
          <t>Cuentas</t>
        </is>
      </c>
    </row>
    <row r="4" ht="15" customHeight="1" s="221">
      <c r="A4" s="281" t="inlineStr">
        <is>
          <t>Combustible</t>
        </is>
      </c>
      <c r="B4" s="281" t="inlineStr">
        <is>
          <t>Insumos NT</t>
        </is>
      </c>
      <c r="C4" s="281" t="inlineStr">
        <is>
          <t>Día del Niño NT</t>
        </is>
      </c>
      <c r="D4" s="281" t="inlineStr">
        <is>
          <t>Atlas (NeuroTEA)</t>
        </is>
      </c>
      <c r="E4" s="220" t="inlineStr">
        <is>
          <t>Salario Mensual</t>
        </is>
      </c>
      <c r="F4" s="220" t="inlineStr">
        <is>
          <t>Ingreso NT</t>
        </is>
      </c>
      <c r="G4" s="220" t="inlineStr">
        <is>
          <t>Ninguno</t>
        </is>
      </c>
      <c r="H4" s="220" t="inlineStr">
        <is>
          <t>Atlas (NeuroTEA)</t>
        </is>
      </c>
    </row>
    <row r="5" ht="15" customHeight="1" s="221">
      <c r="A5" s="281" t="inlineStr">
        <is>
          <t>Supermercado</t>
        </is>
      </c>
      <c r="B5" s="281" t="inlineStr">
        <is>
          <t>Papelería NT</t>
        </is>
      </c>
      <c r="C5" s="281" t="inlineStr">
        <is>
          <t>San Juan NT</t>
        </is>
      </c>
      <c r="D5" s="281" t="inlineStr">
        <is>
          <t>ITAU Marco</t>
        </is>
      </c>
      <c r="E5" s="220" t="inlineStr">
        <is>
          <t>Vacaciones</t>
        </is>
      </c>
      <c r="F5" s="220" t="inlineStr">
        <is>
          <t>Ingreso Marco</t>
        </is>
      </c>
      <c r="G5" s="220" t="inlineStr">
        <is>
          <t>Pendiente</t>
        </is>
      </c>
      <c r="H5" s="220" t="inlineStr">
        <is>
          <t>ITAU Marco</t>
        </is>
      </c>
    </row>
    <row r="6" ht="15" customHeight="1" s="221">
      <c r="A6" s="281" t="inlineStr">
        <is>
          <t>Farmacia</t>
        </is>
      </c>
      <c r="B6" s="281" t="inlineStr">
        <is>
          <t>Mantenimiento NT</t>
        </is>
      </c>
      <c r="C6" s="281" t="inlineStr">
        <is>
          <t>Día del Autismo NT</t>
        </is>
      </c>
      <c r="D6" s="281" t="inlineStr">
        <is>
          <t>ITAU Clara</t>
        </is>
      </c>
      <c r="E6" s="220" t="inlineStr">
        <is>
          <t>Aguinaldo</t>
        </is>
      </c>
      <c r="F6" s="220" t="inlineStr">
        <is>
          <t>Ingreso Clara</t>
        </is>
      </c>
      <c r="G6" s="220" t="inlineStr">
        <is>
          <t>Pagado</t>
        </is>
      </c>
      <c r="H6" s="220" t="inlineStr">
        <is>
          <t>ITAU Clara</t>
        </is>
      </c>
    </row>
    <row r="7" ht="15" customHeight="1" s="221">
      <c r="A7" s="281" t="inlineStr">
        <is>
          <t>Recreación</t>
        </is>
      </c>
      <c r="B7" s="281" t="inlineStr">
        <is>
          <t>Gastos Cursos NT</t>
        </is>
      </c>
      <c r="C7" s="220" t="inlineStr">
        <is>
          <t>Clausura Padres NT</t>
        </is>
      </c>
      <c r="D7" s="281" t="inlineStr">
        <is>
          <t>UENO Clara</t>
        </is>
      </c>
      <c r="E7" s="220" t="inlineStr">
        <is>
          <t>Viático</t>
        </is>
      </c>
      <c r="F7" s="220" t="inlineStr">
        <is>
          <t>Egreso NT</t>
        </is>
      </c>
      <c r="G7" s="220" t="inlineStr">
        <is>
          <t>Cancelado</t>
        </is>
      </c>
      <c r="H7" s="220" t="inlineStr">
        <is>
          <t>UENO Clara</t>
        </is>
      </c>
    </row>
    <row r="8" ht="15" customHeight="1" s="221">
      <c r="A8" s="281" t="inlineStr">
        <is>
          <t>Gastos Varios</t>
        </is>
      </c>
      <c r="B8" s="281" t="inlineStr">
        <is>
          <t>Gastos Varios NT</t>
        </is>
      </c>
      <c r="C8" s="220" t="inlineStr">
        <is>
          <t>Navidad Papá Noel NT</t>
        </is>
      </c>
      <c r="D8" s="220" t="inlineStr">
        <is>
          <t>Coop. Univ. Marco</t>
        </is>
      </c>
      <c r="E8" s="220" t="inlineStr">
        <is>
          <t>Animador Bíblico</t>
        </is>
      </c>
      <c r="F8" s="220" t="inlineStr">
        <is>
          <t>Egreso Familiar</t>
        </is>
      </c>
      <c r="H8" s="220" t="inlineStr">
        <is>
          <t>Coop. Univ. Marco</t>
        </is>
      </c>
    </row>
    <row r="9" ht="15" customHeight="1" s="221">
      <c r="A9" s="281" t="inlineStr">
        <is>
          <t>Reserva Fam 1</t>
        </is>
      </c>
      <c r="B9" s="281" t="inlineStr">
        <is>
          <t>Reserva NT 1</t>
        </is>
      </c>
      <c r="C9" s="220" t="inlineStr">
        <is>
          <t>Cena Fin de Año NT</t>
        </is>
      </c>
      <c r="D9" s="220" t="inlineStr">
        <is>
          <t>Efectivo</t>
        </is>
      </c>
      <c r="E9" s="220" t="inlineStr">
        <is>
          <t>Otros Ocasionales</t>
        </is>
      </c>
      <c r="F9" s="220" t="inlineStr">
        <is>
          <t>Préstamo NT → Familia</t>
        </is>
      </c>
      <c r="H9" s="220" t="inlineStr">
        <is>
          <t>Efectivo</t>
        </is>
      </c>
    </row>
    <row r="10" ht="15" customHeight="1" s="221">
      <c r="A10" s="281" t="inlineStr">
        <is>
          <t>Reserva Fam 2</t>
        </is>
      </c>
      <c r="B10" s="281" t="inlineStr">
        <is>
          <t>Reserva NT 2</t>
        </is>
      </c>
      <c r="C10" s="220" t="inlineStr">
        <is>
          <t>Evento Reserva 1</t>
        </is>
      </c>
      <c r="D10" s="220" t="inlineStr">
        <is>
          <t>Caja NT</t>
        </is>
      </c>
      <c r="E10" s="220" t="inlineStr">
        <is>
          <t>Honorarios Diarios</t>
        </is>
      </c>
      <c r="F10" s="220" t="inlineStr">
        <is>
          <t>Devolución Familia → NT</t>
        </is>
      </c>
      <c r="H10" s="220" t="inlineStr">
        <is>
          <t>Caja NT</t>
        </is>
      </c>
    </row>
    <row r="11" ht="15" customHeight="1" s="221">
      <c r="A11" s="281" t="inlineStr">
        <is>
          <t>Reserva Fam 3</t>
        </is>
      </c>
      <c r="B11" s="281" t="inlineStr">
        <is>
          <t>Reserva NT 3</t>
        </is>
      </c>
      <c r="C11" s="220" t="inlineStr">
        <is>
          <t>Evento Reserva 2</t>
        </is>
      </c>
      <c r="E11" s="220" t="inlineStr">
        <is>
          <t>Sesiones Terapia</t>
        </is>
      </c>
    </row>
    <row r="12" ht="15" customHeight="1" s="221">
      <c r="B12" s="281" t="n"/>
    </row>
    <row r="14" ht="15" customHeight="1" s="221">
      <c r="A14" s="220" t="inlineStr">
        <is>
          <t>📌 Para agregar categoría, renombrá una 'Reserva'.</t>
        </is>
      </c>
    </row>
    <row r="15" ht="15" customHeight="1" s="221">
      <c r="A15" s="300" t="n"/>
    </row>
    <row r="16" ht="15" customHeight="1" s="221">
      <c r="A16" s="278" t="inlineStr">
        <is>
          <t>📊 PARÁMETROS DE SALUD FINANCIERA NT</t>
        </is>
      </c>
      <c r="D16" s="278" t="n"/>
    </row>
    <row r="17" ht="15" customHeight="1" s="221">
      <c r="A17" s="301" t="n"/>
      <c r="B17" s="301" t="n"/>
      <c r="C17" s="301" t="n"/>
      <c r="D17" s="301" t="n"/>
    </row>
    <row r="18" ht="15" customHeight="1" s="221">
      <c r="A18" s="302" t="inlineStr">
        <is>
          <t>Parámetro</t>
        </is>
      </c>
      <c r="B18" s="302" t="inlineStr">
        <is>
          <t>Valor</t>
        </is>
      </c>
      <c r="C18" s="302" t="inlineStr">
        <is>
          <t>Descripción</t>
        </is>
      </c>
      <c r="D18" s="301" t="n"/>
    </row>
    <row r="19" ht="15" customHeight="1" s="221">
      <c r="A19" s="301" t="inlineStr">
        <is>
          <t>% Ganancia Objetivo</t>
        </is>
      </c>
      <c r="B19" s="303" t="n">
        <v>0.07000000000000001</v>
      </c>
      <c r="C19" s="304" t="inlineStr">
        <is>
          <t>✏️ Editar para ajustar umbrales</t>
        </is>
      </c>
      <c r="D19" s="301" t="n"/>
    </row>
    <row r="20" ht="15" customHeight="1" s="221">
      <c r="A20" s="301" t="inlineStr">
        <is>
          <t>% Gastos Máximo</t>
        </is>
      </c>
      <c r="B20" s="305">
        <f>1-B19</f>
        <v/>
      </c>
      <c r="C20" s="304" t="inlineStr">
        <is>
          <t>Calculado automáticamente</t>
        </is>
      </c>
      <c r="D20" s="301" t="n"/>
    </row>
    <row r="21" ht="15" customHeight="1" s="221">
      <c r="A21" s="301" t="n"/>
      <c r="B21" s="306" t="n"/>
      <c r="C21" s="301" t="n"/>
      <c r="D21" s="301" t="n"/>
    </row>
    <row r="22" ht="15" customHeight="1" s="221">
      <c r="A22" s="223" t="inlineStr">
        <is>
          <t>Subdivisión de la Ganancia:</t>
        </is>
      </c>
      <c r="B22" s="306" t="n"/>
      <c r="C22" s="301" t="n"/>
      <c r="D22" s="301" t="n"/>
    </row>
    <row r="23" ht="15" customHeight="1" s="221">
      <c r="A23" s="301" t="inlineStr">
        <is>
          <t>Compensación dueño</t>
        </is>
      </c>
      <c r="B23" s="307">
        <f>B19/4</f>
        <v/>
      </c>
      <c r="C23" s="301" t="inlineStr">
        <is>
          <t>Utilidad adicional al sueldo fijo</t>
        </is>
      </c>
      <c r="D23" s="301" t="n"/>
    </row>
    <row r="24" ht="15" customHeight="1" s="221">
      <c r="A24" s="301" t="inlineStr">
        <is>
          <t>Fondo emergencia</t>
        </is>
      </c>
      <c r="B24" s="307">
        <f>B19/4</f>
        <v/>
      </c>
      <c r="C24" s="301" t="inlineStr">
        <is>
          <t>Reserva para imprevistos</t>
        </is>
      </c>
      <c r="D24" s="301" t="n"/>
    </row>
    <row r="25" ht="15" customHeight="1" s="221">
      <c r="A25" s="301" t="inlineStr">
        <is>
          <t>Inversión</t>
        </is>
      </c>
      <c r="B25" s="308">
        <f>B19/4</f>
        <v/>
      </c>
      <c r="C25" s="301" t="inlineStr">
        <is>
          <t>Crecimiento y mejoras</t>
        </is>
      </c>
    </row>
    <row r="26" ht="15" customHeight="1" s="221">
      <c r="A26" s="301" t="inlineStr">
        <is>
          <t>Imprevistos/Desvío</t>
        </is>
      </c>
      <c r="B26" s="308">
        <f>B19/4</f>
        <v/>
      </c>
      <c r="C26" s="301" t="inlineStr">
        <is>
          <t>Colchón adicional</t>
        </is>
      </c>
    </row>
    <row r="27" ht="15" customHeight="1" s="221">
      <c r="A27" s="301" t="n"/>
      <c r="B27" s="301" t="n"/>
      <c r="C27" s="301" t="n"/>
    </row>
    <row r="28" ht="15" customHeight="1" s="221">
      <c r="A28" s="223" t="inlineStr">
        <is>
          <t>Umbrales de Diagnóstico:</t>
        </is>
      </c>
      <c r="B28" s="301" t="n"/>
      <c r="C28" s="301" t="n"/>
    </row>
    <row r="29" ht="15" customHeight="1" s="221">
      <c r="A29" s="301" t="inlineStr">
        <is>
          <t>🟢 Clínica Sana</t>
        </is>
      </c>
      <c r="B29" s="309">
        <f>B20</f>
        <v/>
      </c>
      <c r="C29" s="301" t="inlineStr">
        <is>
          <t>Gastos ≤ este valor</t>
        </is>
      </c>
    </row>
    <row r="30" ht="15" customHeight="1" s="221">
      <c r="A30" s="301" t="inlineStr">
        <is>
          <t>🟡 Revisar Gastos</t>
        </is>
      </c>
      <c r="B30" s="301" t="inlineStr">
        <is>
          <t>100%</t>
        </is>
      </c>
      <c r="C30" s="301" t="inlineStr">
        <is>
          <t>Gastos entre verde y 100%</t>
        </is>
      </c>
    </row>
    <row r="31" ht="15" customHeight="1" s="221">
      <c r="A31" s="301" t="inlineStr">
        <is>
          <t>🔴 Situación Crítica</t>
        </is>
      </c>
      <c r="B31" s="301" t="inlineStr">
        <is>
          <t>&gt;100%</t>
        </is>
      </c>
      <c r="C31" s="301" t="inlineStr">
        <is>
          <t>Pérdida operativa</t>
        </is>
      </c>
    </row>
  </sheetData>
  <mergeCells count="3">
    <mergeCell ref="A14:F14"/>
    <mergeCell ref="A1:F1"/>
    <mergeCell ref="A16:C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3498DB"/>
    <outlinePr summaryBelow="1" summaryRight="1"/>
    <pageSetUpPr fitToPage="0"/>
  </sheetPr>
  <dimension ref="A1:J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2" customWidth="1" style="220" min="1" max="2"/>
    <col width="18" customWidth="1" style="220" min="3" max="3"/>
    <col width="28" customWidth="1" style="220" min="4" max="4"/>
    <col width="14" customWidth="1" style="220" min="5" max="6"/>
    <col width="18" customWidth="1" style="220" min="7" max="8"/>
  </cols>
  <sheetData>
    <row r="1" ht="18" customHeight="1" s="221">
      <c r="A1" s="310" t="inlineStr">
        <is>
          <t>📋 REGISTRO DE MOVIMIENTOS - ENERO 2026</t>
        </is>
      </c>
      <c r="I1" s="301" t="n"/>
      <c r="J1" s="301" t="n"/>
    </row>
    <row r="2" ht="15" customHeight="1" s="221">
      <c r="A2" s="301" t="n"/>
      <c r="B2" s="301" t="n"/>
      <c r="C2" s="301" t="n"/>
      <c r="D2" s="301" t="n"/>
      <c r="E2" s="301" t="n"/>
      <c r="F2" s="301" t="n"/>
      <c r="G2" s="301" t="n"/>
      <c r="H2" s="301" t="n"/>
      <c r="I2" s="301" t="n"/>
      <c r="J2" s="301" t="n"/>
    </row>
    <row r="3" ht="15" customHeight="1" s="221">
      <c r="A3" s="311" t="inlineStr">
        <is>
          <t>Fecha</t>
        </is>
      </c>
      <c r="B3" s="312" t="inlineStr">
        <is>
          <t>Tipo</t>
        </is>
      </c>
      <c r="C3" s="312" t="inlineStr">
        <is>
          <t>Categoría</t>
        </is>
      </c>
      <c r="D3" s="311" t="inlineStr">
        <is>
          <t>Descripción</t>
        </is>
      </c>
      <c r="E3" s="311" t="inlineStr">
        <is>
          <t>Ingreso</t>
        </is>
      </c>
      <c r="F3" s="311" t="inlineStr">
        <is>
          <t>Egreso</t>
        </is>
      </c>
      <c r="G3" s="311" t="inlineStr">
        <is>
          <t>Cuenta</t>
        </is>
      </c>
      <c r="H3" s="311" t="inlineStr">
        <is>
          <t>Notas</t>
        </is>
      </c>
      <c r="I3" s="301" t="n"/>
      <c r="J3" s="301" t="n"/>
    </row>
    <row r="4" ht="15" customHeight="1" s="221">
      <c r="A4" s="313" t="n"/>
      <c r="B4" s="314" t="n"/>
      <c r="C4" s="315" t="n"/>
      <c r="D4" s="316" t="n"/>
      <c r="E4" s="317" t="n"/>
      <c r="F4" s="317" t="n"/>
      <c r="G4" s="318" t="n"/>
      <c r="H4" s="316" t="n"/>
      <c r="I4" s="301" t="n"/>
      <c r="J4" s="301" t="n"/>
    </row>
    <row r="5" ht="15" customHeight="1" s="221">
      <c r="A5" s="319" t="n"/>
      <c r="B5" s="320" t="n"/>
      <c r="C5" s="321" t="n"/>
      <c r="D5" s="322" t="n"/>
      <c r="E5" s="323" t="n"/>
      <c r="F5" s="323" t="n"/>
      <c r="G5" s="324" t="n"/>
      <c r="H5" s="322" t="n"/>
      <c r="I5" s="301" t="n"/>
      <c r="J5" s="301" t="n"/>
    </row>
    <row r="6" ht="15" customHeight="1" s="221">
      <c r="A6" s="313" t="n"/>
      <c r="B6" s="314" t="n"/>
      <c r="C6" s="315" t="n"/>
      <c r="D6" s="316" t="n"/>
      <c r="E6" s="317" t="n"/>
      <c r="F6" s="317" t="n"/>
      <c r="G6" s="318" t="n"/>
      <c r="H6" s="316" t="n"/>
      <c r="I6" s="301" t="n"/>
      <c r="J6" s="301" t="n"/>
    </row>
    <row r="7" ht="15" customHeight="1" s="221">
      <c r="A7" s="319" t="n"/>
      <c r="B7" s="320" t="n"/>
      <c r="C7" s="321" t="n"/>
      <c r="D7" s="322" t="n"/>
      <c r="E7" s="323" t="n"/>
      <c r="F7" s="323" t="n"/>
      <c r="G7" s="324" t="n"/>
      <c r="H7" s="322" t="n"/>
      <c r="I7" s="301" t="n"/>
      <c r="J7" s="301" t="n"/>
    </row>
    <row r="8" ht="15" customHeight="1" s="221">
      <c r="A8" s="313" t="n"/>
      <c r="B8" s="314" t="n"/>
      <c r="C8" s="315" t="n"/>
      <c r="D8" s="316" t="n"/>
      <c r="E8" s="317" t="n"/>
      <c r="F8" s="317" t="n"/>
      <c r="G8" s="318" t="n"/>
      <c r="H8" s="316" t="n"/>
      <c r="I8" s="301" t="n"/>
      <c r="J8" s="301" t="n"/>
    </row>
    <row r="9" ht="15" customHeight="1" s="221">
      <c r="A9" s="319" t="n"/>
      <c r="B9" s="320" t="n"/>
      <c r="C9" s="321" t="n"/>
      <c r="D9" s="322" t="n"/>
      <c r="E9" s="323" t="n"/>
      <c r="F9" s="323" t="n"/>
      <c r="G9" s="324" t="n"/>
      <c r="H9" s="322" t="n"/>
      <c r="I9" s="301" t="n"/>
      <c r="J9" s="301" t="n"/>
    </row>
    <row r="10" ht="15" customHeight="1" s="221">
      <c r="A10" s="313" t="n"/>
      <c r="B10" s="314" t="n"/>
      <c r="C10" s="315" t="n"/>
      <c r="D10" s="316" t="n"/>
      <c r="E10" s="317" t="n"/>
      <c r="F10" s="317" t="n"/>
      <c r="G10" s="318" t="n"/>
      <c r="H10" s="316" t="n"/>
      <c r="I10" s="301" t="n"/>
      <c r="J10" s="301" t="n"/>
    </row>
    <row r="11" ht="15" customHeight="1" s="221">
      <c r="A11" s="319" t="n"/>
      <c r="B11" s="320" t="n"/>
      <c r="C11" s="321" t="n"/>
      <c r="D11" s="322" t="n"/>
      <c r="E11" s="323" t="n"/>
      <c r="F11" s="323" t="n"/>
      <c r="G11" s="324" t="n"/>
      <c r="H11" s="322" t="n"/>
      <c r="I11" s="301" t="n"/>
      <c r="J11" s="301" t="n"/>
    </row>
    <row r="12" ht="15" customHeight="1" s="221">
      <c r="A12" s="313" t="n"/>
      <c r="B12" s="314" t="n"/>
      <c r="C12" s="315" t="n"/>
      <c r="D12" s="316" t="n"/>
      <c r="E12" s="317" t="n"/>
      <c r="F12" s="317" t="n"/>
      <c r="G12" s="318" t="n"/>
      <c r="H12" s="316" t="n"/>
      <c r="I12" s="301" t="n"/>
      <c r="J12" s="301" t="n"/>
    </row>
    <row r="13" ht="15" customHeight="1" s="221">
      <c r="A13" s="319" t="n"/>
      <c r="B13" s="320" t="n"/>
      <c r="C13" s="321" t="n"/>
      <c r="D13" s="322" t="n"/>
      <c r="E13" s="323" t="n"/>
      <c r="F13" s="323" t="n"/>
      <c r="G13" s="324" t="n"/>
      <c r="H13" s="322" t="n"/>
      <c r="I13" s="301" t="n"/>
      <c r="J13" s="301" t="n"/>
    </row>
    <row r="14" ht="15" customHeight="1" s="221">
      <c r="A14" s="313" t="n"/>
      <c r="B14" s="314" t="n"/>
      <c r="C14" s="315" t="n"/>
      <c r="D14" s="316" t="n"/>
      <c r="E14" s="317" t="n"/>
      <c r="F14" s="317" t="n"/>
      <c r="G14" s="318" t="n"/>
      <c r="H14" s="316" t="n"/>
      <c r="I14" s="301" t="n"/>
      <c r="J14" s="301" t="n"/>
    </row>
    <row r="15" ht="15" customHeight="1" s="221">
      <c r="A15" s="319" t="n"/>
      <c r="B15" s="320" t="n"/>
      <c r="C15" s="321" t="n"/>
      <c r="D15" s="322" t="n"/>
      <c r="E15" s="323" t="n"/>
      <c r="F15" s="323" t="n"/>
      <c r="G15" s="324" t="n"/>
      <c r="H15" s="322" t="n"/>
      <c r="I15" s="301" t="n"/>
      <c r="J15" s="301" t="n"/>
    </row>
    <row r="16" ht="15" customHeight="1" s="221">
      <c r="A16" s="313" t="n"/>
      <c r="B16" s="314" t="n"/>
      <c r="C16" s="315" t="n"/>
      <c r="D16" s="316" t="n"/>
      <c r="E16" s="317" t="n"/>
      <c r="F16" s="317" t="n"/>
      <c r="G16" s="318" t="n"/>
      <c r="H16" s="316" t="n"/>
      <c r="I16" s="301" t="n"/>
      <c r="J16" s="301" t="n"/>
    </row>
    <row r="17" ht="15" customHeight="1" s="221">
      <c r="A17" s="319" t="n"/>
      <c r="B17" s="320" t="n"/>
      <c r="C17" s="321" t="n"/>
      <c r="D17" s="322" t="n"/>
      <c r="E17" s="323" t="n"/>
      <c r="F17" s="323" t="n"/>
      <c r="G17" s="324" t="n"/>
      <c r="H17" s="322" t="n"/>
      <c r="I17" s="301" t="n"/>
      <c r="J17" s="301" t="n"/>
    </row>
    <row r="18" ht="15" customHeight="1" s="221">
      <c r="A18" s="313" t="n"/>
      <c r="B18" s="314" t="n"/>
      <c r="C18" s="315" t="n"/>
      <c r="D18" s="316" t="n"/>
      <c r="E18" s="317" t="n"/>
      <c r="F18" s="317" t="n"/>
      <c r="G18" s="318" t="n"/>
      <c r="H18" s="316" t="n"/>
      <c r="I18" s="301" t="n"/>
      <c r="J18" s="301" t="n"/>
    </row>
    <row r="19" ht="15" customHeight="1" s="221">
      <c r="A19" s="319" t="n"/>
      <c r="B19" s="320" t="n"/>
      <c r="C19" s="321" t="n"/>
      <c r="D19" s="322" t="n"/>
      <c r="E19" s="323" t="n"/>
      <c r="F19" s="323" t="n"/>
      <c r="G19" s="324" t="n"/>
      <c r="H19" s="322" t="n"/>
      <c r="I19" s="301" t="n"/>
      <c r="J19" s="301" t="n"/>
    </row>
    <row r="20" ht="15" customHeight="1" s="221">
      <c r="A20" s="313" t="n"/>
      <c r="B20" s="314" t="n"/>
      <c r="C20" s="315" t="n"/>
      <c r="D20" s="316" t="n"/>
      <c r="E20" s="317" t="n"/>
      <c r="F20" s="317" t="n"/>
      <c r="G20" s="318" t="n"/>
      <c r="H20" s="316" t="n"/>
      <c r="I20" s="301" t="n"/>
      <c r="J20" s="301" t="n"/>
    </row>
    <row r="21" ht="15" customHeight="1" s="221">
      <c r="A21" s="319" t="n"/>
      <c r="B21" s="320" t="n"/>
      <c r="C21" s="321" t="n"/>
      <c r="D21" s="322" t="n"/>
      <c r="E21" s="323" t="n"/>
      <c r="F21" s="323" t="n"/>
      <c r="G21" s="324" t="n"/>
      <c r="H21" s="322" t="n"/>
      <c r="I21" s="301" t="n"/>
      <c r="J21" s="301" t="n"/>
    </row>
    <row r="22" ht="15" customHeight="1" s="221">
      <c r="A22" s="313" t="n"/>
      <c r="B22" s="314" t="n"/>
      <c r="C22" s="315" t="n"/>
      <c r="D22" s="316" t="n"/>
      <c r="E22" s="317" t="n"/>
      <c r="F22" s="317" t="n"/>
      <c r="G22" s="318" t="n"/>
      <c r="H22" s="316" t="n"/>
      <c r="I22" s="301" t="n"/>
      <c r="J22" s="301" t="n"/>
    </row>
    <row r="23" ht="15" customHeight="1" s="221">
      <c r="A23" s="319" t="n"/>
      <c r="B23" s="320" t="n"/>
      <c r="C23" s="321" t="n"/>
      <c r="D23" s="322" t="n"/>
      <c r="E23" s="323" t="n"/>
      <c r="F23" s="323" t="n"/>
      <c r="G23" s="324" t="n"/>
      <c r="H23" s="322" t="n"/>
      <c r="I23" s="301" t="n"/>
      <c r="J23" s="301" t="n"/>
    </row>
    <row r="24" ht="15" customHeight="1" s="221">
      <c r="A24" s="313" t="n"/>
      <c r="B24" s="318" t="n"/>
      <c r="C24" s="315" t="n"/>
      <c r="D24" s="316" t="n"/>
      <c r="E24" s="317" t="n"/>
      <c r="F24" s="317" t="n"/>
      <c r="G24" s="318" t="n"/>
      <c r="H24" s="316" t="n"/>
      <c r="I24" s="301" t="n"/>
      <c r="J24" s="301" t="n"/>
    </row>
    <row r="25" ht="15" customHeight="1" s="221">
      <c r="A25" s="319" t="n"/>
      <c r="B25" s="324" t="n"/>
      <c r="C25" s="321" t="n"/>
      <c r="D25" s="322" t="n"/>
      <c r="E25" s="323" t="n"/>
      <c r="F25" s="323" t="n"/>
      <c r="G25" s="324" t="n"/>
      <c r="H25" s="322" t="n"/>
      <c r="I25" s="301" t="n"/>
      <c r="J25" s="301" t="n"/>
    </row>
    <row r="26" ht="15" customHeight="1" s="221">
      <c r="A26" s="313" t="n"/>
      <c r="B26" s="318" t="n"/>
      <c r="C26" s="315" t="n"/>
      <c r="D26" s="316" t="n"/>
      <c r="E26" s="317" t="n"/>
      <c r="F26" s="317" t="n"/>
      <c r="G26" s="318" t="n"/>
      <c r="H26" s="316" t="n"/>
      <c r="I26" s="301" t="n"/>
      <c r="J26" s="301" t="n"/>
    </row>
    <row r="27" ht="15" customHeight="1" s="221">
      <c r="A27" s="319" t="n"/>
      <c r="B27" s="324" t="n"/>
      <c r="C27" s="321" t="n"/>
      <c r="D27" s="322" t="n"/>
      <c r="E27" s="323" t="n"/>
      <c r="F27" s="323" t="n"/>
      <c r="G27" s="324" t="n"/>
      <c r="H27" s="322" t="n"/>
      <c r="I27" s="301" t="n"/>
      <c r="J27" s="301" t="n"/>
    </row>
    <row r="28" ht="15" customHeight="1" s="221">
      <c r="A28" s="313" t="n"/>
      <c r="B28" s="318" t="n"/>
      <c r="C28" s="315" t="n"/>
      <c r="D28" s="316" t="n"/>
      <c r="E28" s="317" t="n"/>
      <c r="F28" s="317" t="n"/>
      <c r="G28" s="318" t="n"/>
      <c r="H28" s="316" t="n"/>
      <c r="I28" s="301" t="n"/>
      <c r="J28" s="301" t="n"/>
    </row>
    <row r="29" ht="15" customHeight="1" s="221">
      <c r="A29" s="319" t="n"/>
      <c r="B29" s="324" t="n"/>
      <c r="C29" s="321" t="n"/>
      <c r="D29" s="322" t="n"/>
      <c r="E29" s="323" t="n"/>
      <c r="F29" s="323" t="n"/>
      <c r="G29" s="324" t="n"/>
      <c r="H29" s="322" t="n"/>
      <c r="I29" s="301" t="n"/>
      <c r="J29" s="301" t="n"/>
    </row>
    <row r="30" ht="15" customHeight="1" s="221">
      <c r="A30" s="313" t="n"/>
      <c r="B30" s="318" t="n"/>
      <c r="C30" s="315" t="n"/>
      <c r="D30" s="316" t="n"/>
      <c r="E30" s="317" t="n"/>
      <c r="F30" s="317" t="n"/>
      <c r="G30" s="318" t="n"/>
      <c r="H30" s="316" t="n"/>
      <c r="I30" s="301" t="n"/>
      <c r="J30" s="301" t="n"/>
    </row>
    <row r="31" ht="15" customHeight="1" s="221">
      <c r="A31" s="319" t="n"/>
      <c r="B31" s="324" t="n"/>
      <c r="C31" s="321" t="n"/>
      <c r="D31" s="322" t="n"/>
      <c r="E31" s="323" t="n"/>
      <c r="F31" s="323" t="n"/>
      <c r="G31" s="324" t="n"/>
      <c r="H31" s="322" t="n"/>
      <c r="I31" s="301" t="n"/>
      <c r="J31" s="301" t="n"/>
    </row>
    <row r="32" ht="15" customHeight="1" s="221">
      <c r="A32" s="313" t="n"/>
      <c r="B32" s="318" t="n"/>
      <c r="C32" s="315" t="n"/>
      <c r="D32" s="316" t="n"/>
      <c r="E32" s="317" t="n"/>
      <c r="F32" s="317" t="n"/>
      <c r="G32" s="318" t="n"/>
      <c r="H32" s="316" t="n"/>
      <c r="I32" s="301" t="n"/>
      <c r="J32" s="301" t="n"/>
    </row>
    <row r="33" ht="15" customHeight="1" s="221">
      <c r="A33" s="319" t="n"/>
      <c r="B33" s="324" t="n"/>
      <c r="C33" s="321" t="n"/>
      <c r="D33" s="322" t="n"/>
      <c r="E33" s="323" t="n"/>
      <c r="F33" s="323" t="n"/>
      <c r="G33" s="324" t="n"/>
      <c r="H33" s="322" t="n"/>
      <c r="I33" s="301" t="n"/>
      <c r="J33" s="301" t="n"/>
    </row>
    <row r="34" ht="15" customHeight="1" s="221">
      <c r="A34" s="313" t="n"/>
      <c r="B34" s="318" t="n"/>
      <c r="C34" s="315" t="n"/>
      <c r="D34" s="316" t="n"/>
      <c r="E34" s="317" t="n"/>
      <c r="F34" s="317" t="n"/>
      <c r="G34" s="318" t="n"/>
      <c r="H34" s="316" t="n"/>
      <c r="I34" s="301" t="n"/>
      <c r="J34" s="301" t="n"/>
    </row>
    <row r="35" ht="15" customHeight="1" s="221">
      <c r="A35" s="319" t="n"/>
      <c r="B35" s="324" t="n"/>
      <c r="C35" s="322" t="n"/>
      <c r="D35" s="322" t="n"/>
      <c r="E35" s="323" t="n"/>
      <c r="F35" s="323" t="n"/>
      <c r="G35" s="324" t="n"/>
      <c r="H35" s="322" t="n"/>
      <c r="I35" s="301" t="n"/>
      <c r="J35" s="301" t="n"/>
    </row>
    <row r="36" ht="15" customHeight="1" s="221">
      <c r="A36" s="313" t="n"/>
      <c r="B36" s="318" t="n"/>
      <c r="C36" s="316" t="n"/>
      <c r="D36" s="316" t="n"/>
      <c r="E36" s="317" t="n"/>
      <c r="F36" s="317" t="n"/>
      <c r="G36" s="318" t="n"/>
      <c r="H36" s="316" t="n"/>
      <c r="I36" s="301" t="n"/>
      <c r="J36" s="301" t="n"/>
    </row>
    <row r="37" ht="15" customHeight="1" s="221">
      <c r="A37" s="319" t="n"/>
      <c r="B37" s="324" t="n"/>
      <c r="C37" s="322" t="n"/>
      <c r="D37" s="322" t="n"/>
      <c r="E37" s="323" t="n"/>
      <c r="F37" s="323" t="n"/>
      <c r="G37" s="324" t="n"/>
      <c r="H37" s="322" t="n"/>
      <c r="I37" s="301" t="n"/>
      <c r="J37" s="301" t="n"/>
    </row>
    <row r="38" ht="15" customHeight="1" s="221">
      <c r="A38" s="313" t="n"/>
      <c r="B38" s="318" t="n"/>
      <c r="C38" s="316" t="n"/>
      <c r="D38" s="316" t="n"/>
      <c r="E38" s="317" t="n"/>
      <c r="F38" s="317" t="n"/>
      <c r="G38" s="318" t="n"/>
      <c r="H38" s="316" t="n"/>
      <c r="I38" s="301" t="n"/>
      <c r="J38" s="301" t="n"/>
    </row>
    <row r="39" ht="15" customHeight="1" s="221">
      <c r="A39" s="319" t="n"/>
      <c r="B39" s="324" t="n"/>
      <c r="C39" s="322" t="n"/>
      <c r="D39" s="322" t="n"/>
      <c r="E39" s="323" t="n"/>
      <c r="F39" s="323" t="n"/>
      <c r="G39" s="324" t="n"/>
      <c r="H39" s="322" t="n"/>
      <c r="I39" s="301" t="n"/>
      <c r="J39" s="301" t="n"/>
    </row>
    <row r="40" ht="15" customHeight="1" s="221">
      <c r="A40" s="313" t="n"/>
      <c r="B40" s="318" t="n"/>
      <c r="C40" s="316" t="n"/>
      <c r="D40" s="316" t="n"/>
      <c r="E40" s="317" t="n"/>
      <c r="F40" s="317" t="n"/>
      <c r="G40" s="318" t="n"/>
      <c r="H40" s="316" t="n"/>
      <c r="I40" s="301" t="n"/>
      <c r="J40" s="301" t="n"/>
    </row>
    <row r="41" ht="15" customHeight="1" s="221">
      <c r="A41" s="319" t="n"/>
      <c r="B41" s="324" t="n"/>
      <c r="C41" s="322" t="n"/>
      <c r="D41" s="322" t="n"/>
      <c r="E41" s="323" t="n"/>
      <c r="F41" s="323" t="n"/>
      <c r="G41" s="324" t="n"/>
      <c r="H41" s="322" t="n"/>
      <c r="I41" s="301" t="n"/>
      <c r="J41" s="301" t="n"/>
    </row>
    <row r="42" ht="15" customHeight="1" s="221">
      <c r="A42" s="313" t="n"/>
      <c r="B42" s="318" t="n"/>
      <c r="C42" s="316" t="n"/>
      <c r="D42" s="316" t="n"/>
      <c r="E42" s="317" t="n"/>
      <c r="F42" s="317" t="n"/>
      <c r="G42" s="318" t="n"/>
      <c r="H42" s="316" t="n"/>
      <c r="I42" s="301" t="n"/>
      <c r="J42" s="301" t="n"/>
    </row>
    <row r="43" ht="15" customHeight="1" s="221">
      <c r="A43" s="319" t="n"/>
      <c r="B43" s="324" t="n"/>
      <c r="C43" s="322" t="n"/>
      <c r="D43" s="322" t="n"/>
      <c r="E43" s="323" t="n"/>
      <c r="F43" s="323" t="n"/>
      <c r="G43" s="324" t="n"/>
      <c r="H43" s="322" t="n"/>
      <c r="I43" s="301" t="n"/>
      <c r="J43" s="301" t="n"/>
    </row>
    <row r="44" ht="15" customHeight="1" s="221">
      <c r="A44" s="313" t="n"/>
      <c r="B44" s="318" t="n"/>
      <c r="C44" s="316" t="n"/>
      <c r="D44" s="316" t="n"/>
      <c r="E44" s="317" t="n"/>
      <c r="F44" s="317" t="n"/>
      <c r="G44" s="318" t="n"/>
      <c r="H44" s="316" t="n"/>
      <c r="I44" s="301" t="n"/>
      <c r="J44" s="301" t="n"/>
    </row>
    <row r="45" ht="15" customHeight="1" s="221">
      <c r="A45" s="319" t="n"/>
      <c r="B45" s="324" t="n"/>
      <c r="C45" s="322" t="n"/>
      <c r="D45" s="322" t="n"/>
      <c r="E45" s="323" t="n"/>
      <c r="F45" s="323" t="n"/>
      <c r="G45" s="324" t="n"/>
      <c r="H45" s="322" t="n"/>
      <c r="I45" s="301" t="n"/>
      <c r="J45" s="301" t="n"/>
    </row>
    <row r="46" ht="15" customHeight="1" s="221">
      <c r="A46" s="313" t="n"/>
      <c r="B46" s="318" t="n"/>
      <c r="C46" s="316" t="n"/>
      <c r="D46" s="316" t="n"/>
      <c r="E46" s="317" t="n"/>
      <c r="F46" s="317" t="n"/>
      <c r="G46" s="318" t="n"/>
      <c r="H46" s="316" t="n"/>
      <c r="I46" s="301" t="n"/>
      <c r="J46" s="301" t="n"/>
    </row>
    <row r="47" ht="15" customHeight="1" s="221">
      <c r="A47" s="319" t="n"/>
      <c r="B47" s="324" t="n"/>
      <c r="C47" s="322" t="n"/>
      <c r="D47" s="322" t="n"/>
      <c r="E47" s="323" t="n"/>
      <c r="F47" s="323" t="n"/>
      <c r="G47" s="324" t="n"/>
      <c r="H47" s="322" t="n"/>
      <c r="I47" s="301" t="n"/>
      <c r="J47" s="301" t="n"/>
    </row>
    <row r="48" ht="15" customHeight="1" s="221">
      <c r="A48" s="313" t="n"/>
      <c r="B48" s="318" t="n"/>
      <c r="C48" s="316" t="n"/>
      <c r="D48" s="316" t="n"/>
      <c r="E48" s="317" t="n"/>
      <c r="F48" s="317" t="n"/>
      <c r="G48" s="318" t="n"/>
      <c r="H48" s="316" t="n"/>
      <c r="I48" s="301" t="n"/>
      <c r="J48" s="301" t="n"/>
    </row>
    <row r="49" ht="15" customHeight="1" s="221">
      <c r="A49" s="319" t="n"/>
      <c r="B49" s="324" t="n"/>
      <c r="C49" s="322" t="n"/>
      <c r="D49" s="322" t="n"/>
      <c r="E49" s="323" t="n"/>
      <c r="F49" s="323" t="n"/>
      <c r="G49" s="324" t="n"/>
      <c r="H49" s="322" t="n"/>
      <c r="I49" s="301" t="n"/>
      <c r="J49" s="301" t="n"/>
    </row>
    <row r="50" ht="15" customHeight="1" s="221">
      <c r="A50" s="313" t="n"/>
      <c r="B50" s="318" t="n"/>
      <c r="C50" s="316" t="n"/>
      <c r="D50" s="316" t="n"/>
      <c r="E50" s="317" t="n"/>
      <c r="F50" s="317" t="n"/>
      <c r="G50" s="318" t="n"/>
      <c r="H50" s="316" t="n"/>
      <c r="I50" s="301" t="n"/>
      <c r="J50" s="301" t="n"/>
    </row>
    <row r="51" ht="15" customHeight="1" s="221">
      <c r="A51" s="319" t="n"/>
      <c r="B51" s="324" t="n"/>
      <c r="C51" s="322" t="n"/>
      <c r="D51" s="322" t="n"/>
      <c r="E51" s="323" t="n"/>
      <c r="F51" s="323" t="n"/>
      <c r="G51" s="324" t="n"/>
      <c r="H51" s="322" t="n"/>
      <c r="I51" s="301" t="n"/>
      <c r="J51" s="301" t="n"/>
    </row>
    <row r="52" ht="15" customHeight="1" s="221">
      <c r="A52" s="313" t="n"/>
      <c r="B52" s="318" t="n"/>
      <c r="C52" s="316" t="n"/>
      <c r="D52" s="316" t="n"/>
      <c r="E52" s="317" t="n"/>
      <c r="F52" s="317" t="n"/>
      <c r="G52" s="318" t="n"/>
      <c r="H52" s="316" t="n"/>
      <c r="I52" s="301" t="n"/>
      <c r="J52" s="301" t="n"/>
    </row>
    <row r="53" ht="15" customHeight="1" s="221">
      <c r="A53" s="319" t="n"/>
      <c r="B53" s="324" t="n"/>
      <c r="C53" s="322" t="n"/>
      <c r="D53" s="322" t="n"/>
      <c r="E53" s="323" t="n"/>
      <c r="F53" s="323" t="n"/>
      <c r="G53" s="324" t="n"/>
      <c r="H53" s="322" t="n"/>
      <c r="I53" s="301" t="n"/>
      <c r="J53" s="301" t="n"/>
    </row>
    <row r="54" ht="15" customHeight="1" s="221">
      <c r="A54" s="313" t="n"/>
      <c r="B54" s="318" t="n"/>
      <c r="C54" s="316" t="n"/>
      <c r="D54" s="316" t="n"/>
      <c r="E54" s="317" t="n"/>
      <c r="F54" s="317" t="n"/>
      <c r="G54" s="318" t="n"/>
      <c r="H54" s="316" t="n"/>
      <c r="I54" s="301" t="n"/>
      <c r="J54" s="301" t="n"/>
    </row>
    <row r="55" ht="15" customHeight="1" s="221">
      <c r="A55" s="319" t="n"/>
      <c r="B55" s="324" t="n"/>
      <c r="C55" s="322" t="n"/>
      <c r="D55" s="322" t="n"/>
      <c r="E55" s="323" t="n"/>
      <c r="F55" s="323" t="n"/>
      <c r="G55" s="324" t="n"/>
      <c r="H55" s="322" t="n"/>
      <c r="I55" s="301" t="n"/>
      <c r="J55" s="301" t="n"/>
    </row>
    <row r="56" ht="15" customHeight="1" s="221">
      <c r="A56" s="313" t="n"/>
      <c r="B56" s="318" t="n"/>
      <c r="C56" s="316" t="n"/>
      <c r="D56" s="316" t="n"/>
      <c r="E56" s="317" t="n"/>
      <c r="F56" s="317" t="n"/>
      <c r="G56" s="318" t="n"/>
      <c r="H56" s="316" t="n"/>
      <c r="I56" s="301" t="n"/>
      <c r="J56" s="301" t="n"/>
    </row>
    <row r="57" ht="15" customHeight="1" s="221">
      <c r="A57" s="319" t="n"/>
      <c r="B57" s="324" t="n"/>
      <c r="C57" s="322" t="n"/>
      <c r="D57" s="322" t="n"/>
      <c r="E57" s="323" t="n"/>
      <c r="F57" s="323" t="n"/>
      <c r="G57" s="324" t="n"/>
      <c r="H57" s="322" t="n"/>
      <c r="I57" s="301" t="n"/>
      <c r="J57" s="301" t="n"/>
    </row>
    <row r="58" ht="15" customHeight="1" s="221">
      <c r="A58" s="313" t="n"/>
      <c r="B58" s="318" t="n"/>
      <c r="C58" s="316" t="n"/>
      <c r="D58" s="316" t="n"/>
      <c r="E58" s="317" t="n"/>
      <c r="F58" s="317" t="n"/>
      <c r="G58" s="318" t="n"/>
      <c r="H58" s="316" t="n"/>
      <c r="I58" s="301" t="n"/>
      <c r="J58" s="301" t="n"/>
    </row>
    <row r="59" ht="15" customHeight="1" s="221">
      <c r="A59" s="319" t="n"/>
      <c r="B59" s="324" t="n"/>
      <c r="C59" s="322" t="n"/>
      <c r="D59" s="322" t="n"/>
      <c r="E59" s="323" t="n"/>
      <c r="F59" s="323" t="n"/>
      <c r="G59" s="324" t="n"/>
      <c r="H59" s="322" t="n"/>
      <c r="I59" s="301" t="n"/>
      <c r="J59" s="301" t="n"/>
    </row>
    <row r="60" ht="15" customHeight="1" s="221">
      <c r="A60" s="313" t="n"/>
      <c r="B60" s="318" t="n"/>
      <c r="C60" s="316" t="n"/>
      <c r="D60" s="316" t="n"/>
      <c r="E60" s="317" t="n"/>
      <c r="F60" s="317" t="n"/>
      <c r="G60" s="318" t="n"/>
      <c r="H60" s="316" t="n"/>
      <c r="I60" s="301" t="n"/>
      <c r="J60" s="301" t="n"/>
    </row>
    <row r="61" ht="15" customHeight="1" s="221">
      <c r="A61" s="319" t="n"/>
      <c r="B61" s="324" t="n"/>
      <c r="C61" s="322" t="n"/>
      <c r="D61" s="322" t="n"/>
      <c r="E61" s="323" t="n"/>
      <c r="F61" s="323" t="n"/>
      <c r="G61" s="324" t="n"/>
      <c r="H61" s="322" t="n"/>
      <c r="I61" s="301" t="n"/>
      <c r="J61" s="301" t="n"/>
    </row>
    <row r="62" ht="15" customHeight="1" s="221">
      <c r="A62" s="313" t="n"/>
      <c r="B62" s="318" t="n"/>
      <c r="C62" s="316" t="n"/>
      <c r="D62" s="316" t="n"/>
      <c r="E62" s="317" t="n"/>
      <c r="F62" s="317" t="n"/>
      <c r="G62" s="318" t="n"/>
      <c r="H62" s="316" t="n"/>
      <c r="I62" s="301" t="n"/>
      <c r="J62" s="301" t="n"/>
    </row>
    <row r="63" ht="15" customHeight="1" s="221">
      <c r="A63" s="319" t="n"/>
      <c r="B63" s="324" t="n"/>
      <c r="C63" s="322" t="n"/>
      <c r="D63" s="322" t="n"/>
      <c r="E63" s="323" t="n"/>
      <c r="F63" s="323" t="n"/>
      <c r="G63" s="324" t="n"/>
      <c r="H63" s="322" t="n"/>
      <c r="I63" s="301" t="n"/>
      <c r="J63" s="301" t="n"/>
    </row>
    <row r="64" ht="15" customHeight="1" s="221">
      <c r="A64" s="313" t="n"/>
      <c r="B64" s="318" t="n"/>
      <c r="C64" s="316" t="n"/>
      <c r="D64" s="316" t="n"/>
      <c r="E64" s="317" t="n"/>
      <c r="F64" s="317" t="n"/>
      <c r="G64" s="318" t="n"/>
      <c r="H64" s="316" t="n"/>
      <c r="I64" s="301" t="n"/>
      <c r="J64" s="301" t="n"/>
    </row>
    <row r="65" ht="15" customHeight="1" s="221">
      <c r="A65" s="319" t="n"/>
      <c r="B65" s="324" t="n"/>
      <c r="C65" s="322" t="n"/>
      <c r="D65" s="322" t="n"/>
      <c r="E65" s="323" t="n"/>
      <c r="F65" s="323" t="n"/>
      <c r="G65" s="324" t="n"/>
      <c r="H65" s="322" t="n"/>
      <c r="I65" s="301" t="n"/>
      <c r="J65" s="301" t="n"/>
    </row>
    <row r="66" ht="15" customHeight="1" s="221">
      <c r="A66" s="313" t="n"/>
      <c r="B66" s="318" t="n"/>
      <c r="C66" s="316" t="n"/>
      <c r="D66" s="316" t="n"/>
      <c r="E66" s="317" t="n"/>
      <c r="F66" s="317" t="n"/>
      <c r="G66" s="318" t="n"/>
      <c r="H66" s="316" t="n"/>
      <c r="I66" s="301" t="n"/>
      <c r="J66" s="301" t="n"/>
    </row>
    <row r="67" ht="15" customHeight="1" s="221">
      <c r="A67" s="319" t="n"/>
      <c r="B67" s="324" t="n"/>
      <c r="C67" s="322" t="n"/>
      <c r="D67" s="322" t="n"/>
      <c r="E67" s="323" t="n"/>
      <c r="F67" s="323" t="n"/>
      <c r="G67" s="324" t="n"/>
      <c r="H67" s="322" t="n"/>
      <c r="I67" s="301" t="n"/>
      <c r="J67" s="301" t="n"/>
    </row>
    <row r="68" ht="15" customHeight="1" s="221">
      <c r="A68" s="313" t="n"/>
      <c r="B68" s="318" t="n"/>
      <c r="C68" s="316" t="n"/>
      <c r="D68" s="316" t="n"/>
      <c r="E68" s="317" t="n"/>
      <c r="F68" s="317" t="n"/>
      <c r="G68" s="318" t="n"/>
      <c r="H68" s="316" t="n"/>
      <c r="I68" s="301" t="n"/>
      <c r="J68" s="301" t="n"/>
    </row>
    <row r="69" ht="15" customHeight="1" s="221">
      <c r="A69" s="319" t="n"/>
      <c r="B69" s="324" t="n"/>
      <c r="C69" s="322" t="n"/>
      <c r="D69" s="322" t="n"/>
      <c r="E69" s="323" t="n"/>
      <c r="F69" s="323" t="n"/>
      <c r="G69" s="324" t="n"/>
      <c r="H69" s="322" t="n"/>
      <c r="I69" s="301" t="n"/>
      <c r="J69" s="301" t="n"/>
    </row>
    <row r="70" ht="15" customHeight="1" s="221">
      <c r="A70" s="313" t="n"/>
      <c r="B70" s="318" t="n"/>
      <c r="C70" s="316" t="n"/>
      <c r="D70" s="316" t="n"/>
      <c r="E70" s="317" t="n"/>
      <c r="F70" s="317" t="n"/>
      <c r="G70" s="318" t="n"/>
      <c r="H70" s="316" t="n"/>
      <c r="I70" s="301" t="n"/>
      <c r="J70" s="301" t="n"/>
    </row>
    <row r="71" ht="15" customHeight="1" s="221">
      <c r="A71" s="319" t="n"/>
      <c r="B71" s="324" t="n"/>
      <c r="C71" s="322" t="n"/>
      <c r="D71" s="322" t="n"/>
      <c r="E71" s="323" t="n"/>
      <c r="F71" s="323" t="n"/>
      <c r="G71" s="324" t="n"/>
      <c r="H71" s="322" t="n"/>
      <c r="I71" s="301" t="n"/>
      <c r="J71" s="301" t="n"/>
    </row>
    <row r="72" ht="15" customHeight="1" s="221">
      <c r="A72" s="313" t="n"/>
      <c r="B72" s="318" t="n"/>
      <c r="C72" s="316" t="n"/>
      <c r="D72" s="316" t="n"/>
      <c r="E72" s="317" t="n"/>
      <c r="F72" s="317" t="n"/>
      <c r="G72" s="318" t="n"/>
      <c r="H72" s="316" t="n"/>
      <c r="I72" s="301" t="n"/>
      <c r="J72" s="301" t="n"/>
    </row>
    <row r="73" ht="15" customHeight="1" s="221">
      <c r="A73" s="319" t="n"/>
      <c r="B73" s="324" t="n"/>
      <c r="C73" s="322" t="n"/>
      <c r="D73" s="322" t="n"/>
      <c r="E73" s="323" t="n"/>
      <c r="F73" s="323" t="n"/>
      <c r="G73" s="324" t="n"/>
      <c r="H73" s="322" t="n"/>
      <c r="I73" s="301" t="n"/>
      <c r="J73" s="301" t="n"/>
    </row>
    <row r="74" ht="15" customHeight="1" s="221">
      <c r="A74" s="313" t="n"/>
      <c r="B74" s="318" t="n"/>
      <c r="C74" s="316" t="n"/>
      <c r="D74" s="316" t="n"/>
      <c r="E74" s="317" t="n"/>
      <c r="F74" s="317" t="n"/>
      <c r="G74" s="318" t="n"/>
      <c r="H74" s="316" t="n"/>
      <c r="I74" s="301" t="n"/>
      <c r="J74" s="301" t="n"/>
    </row>
    <row r="75" ht="15" customHeight="1" s="221">
      <c r="A75" s="319" t="n"/>
      <c r="B75" s="324" t="n"/>
      <c r="C75" s="322" t="n"/>
      <c r="D75" s="322" t="n"/>
      <c r="E75" s="323" t="n"/>
      <c r="F75" s="323" t="n"/>
      <c r="G75" s="324" t="n"/>
      <c r="H75" s="322" t="n"/>
      <c r="I75" s="301" t="n"/>
      <c r="J75" s="301" t="n"/>
    </row>
    <row r="76" ht="15" customHeight="1" s="221">
      <c r="A76" s="313" t="n"/>
      <c r="B76" s="318" t="n"/>
      <c r="C76" s="316" t="n"/>
      <c r="D76" s="316" t="n"/>
      <c r="E76" s="317" t="n"/>
      <c r="F76" s="317" t="n"/>
      <c r="G76" s="318" t="n"/>
      <c r="H76" s="316" t="n"/>
      <c r="I76" s="301" t="n"/>
      <c r="J76" s="301" t="n"/>
    </row>
    <row r="77" ht="15" customHeight="1" s="221">
      <c r="A77" s="319" t="n"/>
      <c r="B77" s="324" t="n"/>
      <c r="C77" s="322" t="n"/>
      <c r="D77" s="322" t="n"/>
      <c r="E77" s="323" t="n"/>
      <c r="F77" s="323" t="n"/>
      <c r="G77" s="324" t="n"/>
      <c r="H77" s="322" t="n"/>
      <c r="I77" s="301" t="n"/>
      <c r="J77" s="301" t="n"/>
    </row>
    <row r="78" ht="15" customHeight="1" s="221">
      <c r="A78" s="313" t="n"/>
      <c r="B78" s="318" t="n"/>
      <c r="C78" s="316" t="n"/>
      <c r="D78" s="316" t="n"/>
      <c r="E78" s="317" t="n"/>
      <c r="F78" s="317" t="n"/>
      <c r="G78" s="318" t="n"/>
      <c r="H78" s="316" t="n"/>
      <c r="I78" s="301" t="n"/>
      <c r="J78" s="301" t="n"/>
    </row>
    <row r="79" ht="15" customHeight="1" s="221">
      <c r="A79" s="319" t="n"/>
      <c r="B79" s="324" t="n"/>
      <c r="C79" s="322" t="n"/>
      <c r="D79" s="322" t="n"/>
      <c r="E79" s="323" t="n"/>
      <c r="F79" s="323" t="n"/>
      <c r="G79" s="324" t="n"/>
      <c r="H79" s="322" t="n"/>
      <c r="I79" s="301" t="n"/>
      <c r="J79" s="301" t="n"/>
    </row>
    <row r="80" ht="15" customHeight="1" s="221">
      <c r="A80" s="313" t="n"/>
      <c r="B80" s="318" t="n"/>
      <c r="C80" s="316" t="n"/>
      <c r="D80" s="316" t="n"/>
      <c r="E80" s="317" t="n"/>
      <c r="F80" s="317" t="n"/>
      <c r="G80" s="318" t="n"/>
      <c r="H80" s="316" t="n"/>
      <c r="I80" s="301" t="n"/>
      <c r="J80" s="301" t="n"/>
    </row>
    <row r="81" ht="15" customHeight="1" s="221">
      <c r="A81" s="319" t="n"/>
      <c r="B81" s="324" t="n"/>
      <c r="C81" s="322" t="n"/>
      <c r="D81" s="322" t="n"/>
      <c r="E81" s="323" t="n"/>
      <c r="F81" s="323" t="n"/>
      <c r="G81" s="324" t="n"/>
      <c r="H81" s="322" t="n"/>
      <c r="I81" s="301" t="n"/>
      <c r="J81" s="301" t="n"/>
    </row>
    <row r="82" ht="15" customHeight="1" s="221">
      <c r="A82" s="313" t="n"/>
      <c r="B82" s="318" t="n"/>
      <c r="C82" s="316" t="n"/>
      <c r="D82" s="316" t="n"/>
      <c r="E82" s="317" t="n"/>
      <c r="F82" s="317" t="n"/>
      <c r="G82" s="318" t="n"/>
      <c r="H82" s="316" t="n"/>
      <c r="I82" s="301" t="n"/>
      <c r="J82" s="301" t="n"/>
    </row>
    <row r="83" ht="15" customHeight="1" s="221">
      <c r="A83" s="319" t="n"/>
      <c r="B83" s="324" t="n"/>
      <c r="C83" s="322" t="n"/>
      <c r="D83" s="322" t="n"/>
      <c r="E83" s="323" t="n"/>
      <c r="F83" s="323" t="n"/>
      <c r="G83" s="324" t="n"/>
      <c r="H83" s="322" t="n"/>
      <c r="I83" s="301" t="n"/>
      <c r="J83" s="301" t="n"/>
    </row>
    <row r="84" ht="15" customHeight="1" s="221">
      <c r="A84" s="313" t="n"/>
      <c r="B84" s="318" t="n"/>
      <c r="C84" s="316" t="n"/>
      <c r="D84" s="316" t="n"/>
      <c r="E84" s="317" t="n"/>
      <c r="F84" s="317" t="n"/>
      <c r="G84" s="318" t="n"/>
      <c r="H84" s="316" t="n"/>
      <c r="I84" s="301" t="n"/>
      <c r="J84" s="301" t="n"/>
    </row>
    <row r="85" ht="15" customHeight="1" s="221">
      <c r="A85" s="319" t="n"/>
      <c r="B85" s="324" t="n"/>
      <c r="C85" s="322" t="n"/>
      <c r="D85" s="322" t="n"/>
      <c r="E85" s="323" t="n"/>
      <c r="F85" s="323" t="n"/>
      <c r="G85" s="324" t="n"/>
      <c r="H85" s="322" t="n"/>
      <c r="I85" s="301" t="n"/>
      <c r="J85" s="301" t="n"/>
    </row>
    <row r="86" ht="15" customHeight="1" s="221">
      <c r="A86" s="313" t="n"/>
      <c r="B86" s="318" t="n"/>
      <c r="C86" s="316" t="n"/>
      <c r="D86" s="316" t="n"/>
      <c r="E86" s="317" t="n"/>
      <c r="F86" s="317" t="n"/>
      <c r="G86" s="318" t="n"/>
      <c r="H86" s="316" t="n"/>
      <c r="I86" s="301" t="n"/>
      <c r="J86" s="301" t="n"/>
    </row>
    <row r="87" ht="15" customHeight="1" s="221">
      <c r="A87" s="319" t="n"/>
      <c r="B87" s="324" t="n"/>
      <c r="C87" s="322" t="n"/>
      <c r="D87" s="322" t="n"/>
      <c r="E87" s="323" t="n"/>
      <c r="F87" s="323" t="n"/>
      <c r="G87" s="324" t="n"/>
      <c r="H87" s="322" t="n"/>
      <c r="I87" s="301" t="n"/>
      <c r="J87" s="301" t="n"/>
    </row>
    <row r="88" ht="15" customHeight="1" s="221">
      <c r="A88" s="313" t="n"/>
      <c r="B88" s="318" t="n"/>
      <c r="C88" s="316" t="n"/>
      <c r="D88" s="316" t="n"/>
      <c r="E88" s="317" t="n"/>
      <c r="F88" s="317" t="n"/>
      <c r="G88" s="318" t="n"/>
      <c r="H88" s="316" t="n"/>
      <c r="I88" s="301" t="n"/>
      <c r="J88" s="301" t="n"/>
    </row>
    <row r="89" ht="15" customHeight="1" s="221">
      <c r="A89" s="319" t="n"/>
      <c r="B89" s="324" t="n"/>
      <c r="C89" s="322" t="n"/>
      <c r="D89" s="322" t="n"/>
      <c r="E89" s="323" t="n"/>
      <c r="F89" s="323" t="n"/>
      <c r="G89" s="324" t="n"/>
      <c r="H89" s="322" t="n"/>
      <c r="I89" s="301" t="n"/>
      <c r="J89" s="301" t="n"/>
    </row>
    <row r="90" ht="15" customHeight="1" s="221">
      <c r="A90" s="313" t="n"/>
      <c r="B90" s="318" t="n"/>
      <c r="C90" s="316" t="n"/>
      <c r="D90" s="316" t="n"/>
      <c r="E90" s="317" t="n"/>
      <c r="F90" s="317" t="n"/>
      <c r="G90" s="318" t="n"/>
      <c r="H90" s="316" t="n"/>
      <c r="I90" s="301" t="n"/>
      <c r="J90" s="301" t="n"/>
    </row>
    <row r="91" ht="15" customHeight="1" s="221">
      <c r="A91" s="319" t="n"/>
      <c r="B91" s="324" t="n"/>
      <c r="C91" s="322" t="n"/>
      <c r="D91" s="322" t="n"/>
      <c r="E91" s="323" t="n"/>
      <c r="F91" s="323" t="n"/>
      <c r="G91" s="324" t="n"/>
      <c r="H91" s="322" t="n"/>
      <c r="I91" s="301" t="n"/>
      <c r="J91" s="301" t="n"/>
    </row>
    <row r="92" ht="15" customHeight="1" s="221">
      <c r="A92" s="313" t="n"/>
      <c r="B92" s="318" t="n"/>
      <c r="C92" s="316" t="n"/>
      <c r="D92" s="316" t="n"/>
      <c r="E92" s="317" t="n"/>
      <c r="F92" s="317" t="n"/>
      <c r="G92" s="318" t="n"/>
      <c r="H92" s="316" t="n"/>
      <c r="I92" s="301" t="n"/>
      <c r="J92" s="301" t="n"/>
    </row>
    <row r="93" ht="15" customHeight="1" s="221">
      <c r="A93" s="319" t="n"/>
      <c r="B93" s="324" t="n"/>
      <c r="C93" s="322" t="n"/>
      <c r="D93" s="322" t="n"/>
      <c r="E93" s="323" t="n"/>
      <c r="F93" s="323" t="n"/>
      <c r="G93" s="324" t="n"/>
      <c r="H93" s="322" t="n"/>
      <c r="I93" s="301" t="n"/>
      <c r="J93" s="301" t="n"/>
    </row>
    <row r="94" ht="15" customHeight="1" s="221">
      <c r="A94" s="313" t="n"/>
      <c r="B94" s="318" t="n"/>
      <c r="C94" s="316" t="n"/>
      <c r="D94" s="316" t="n"/>
      <c r="E94" s="317" t="n"/>
      <c r="F94" s="317" t="n"/>
      <c r="G94" s="318" t="n"/>
      <c r="H94" s="316" t="n"/>
      <c r="I94" s="301" t="n"/>
      <c r="J94" s="301" t="n"/>
    </row>
    <row r="95" ht="15" customHeight="1" s="221">
      <c r="A95" s="319" t="n"/>
      <c r="B95" s="324" t="n"/>
      <c r="C95" s="322" t="n"/>
      <c r="D95" s="322" t="n"/>
      <c r="E95" s="323" t="n"/>
      <c r="F95" s="323" t="n"/>
      <c r="G95" s="324" t="n"/>
      <c r="H95" s="322" t="n"/>
      <c r="I95" s="301" t="n"/>
      <c r="J95" s="301" t="n"/>
    </row>
    <row r="96" ht="15" customHeight="1" s="221">
      <c r="A96" s="313" t="n"/>
      <c r="B96" s="318" t="n"/>
      <c r="C96" s="316" t="n"/>
      <c r="D96" s="316" t="n"/>
      <c r="E96" s="317" t="n"/>
      <c r="F96" s="317" t="n"/>
      <c r="G96" s="318" t="n"/>
      <c r="H96" s="316" t="n"/>
      <c r="I96" s="301" t="n"/>
      <c r="J96" s="301" t="n"/>
    </row>
    <row r="97" ht="15" customHeight="1" s="221">
      <c r="A97" s="319" t="n"/>
      <c r="B97" s="324" t="n"/>
      <c r="C97" s="322" t="n"/>
      <c r="D97" s="322" t="n"/>
      <c r="E97" s="323" t="n"/>
      <c r="F97" s="323" t="n"/>
      <c r="G97" s="324" t="n"/>
      <c r="H97" s="322" t="n"/>
      <c r="I97" s="301" t="n"/>
      <c r="J97" s="301" t="n"/>
    </row>
    <row r="98" ht="15" customHeight="1" s="221">
      <c r="A98" s="313" t="n"/>
      <c r="B98" s="318" t="n"/>
      <c r="C98" s="316" t="n"/>
      <c r="D98" s="316" t="n"/>
      <c r="E98" s="317" t="n"/>
      <c r="F98" s="317" t="n"/>
      <c r="G98" s="318" t="n"/>
      <c r="H98" s="316" t="n"/>
      <c r="I98" s="301" t="n"/>
      <c r="J98" s="301" t="n"/>
    </row>
    <row r="99" ht="15" customHeight="1" s="221">
      <c r="A99" s="319" t="n"/>
      <c r="B99" s="324" t="n"/>
      <c r="C99" s="322" t="n"/>
      <c r="D99" s="322" t="n"/>
      <c r="E99" s="323" t="n"/>
      <c r="F99" s="323" t="n"/>
      <c r="G99" s="324" t="n"/>
      <c r="H99" s="322" t="n"/>
      <c r="I99" s="301" t="n"/>
      <c r="J99" s="301" t="n"/>
    </row>
    <row r="100" ht="15" customHeight="1" s="221">
      <c r="A100" s="313" t="n"/>
      <c r="B100" s="318" t="n"/>
      <c r="C100" s="316" t="n"/>
      <c r="D100" s="316" t="n"/>
      <c r="E100" s="317" t="n"/>
      <c r="F100" s="317" t="n"/>
      <c r="G100" s="318" t="n"/>
      <c r="H100" s="316" t="n"/>
      <c r="I100" s="301" t="n"/>
      <c r="J100" s="301" t="n"/>
    </row>
    <row r="101" ht="15" customHeight="1" s="221">
      <c r="A101" s="319" t="n"/>
      <c r="B101" s="324" t="n"/>
      <c r="C101" s="322" t="n"/>
      <c r="D101" s="322" t="n"/>
      <c r="E101" s="323" t="n"/>
      <c r="F101" s="323" t="n"/>
      <c r="G101" s="324" t="n"/>
      <c r="H101" s="322" t="n"/>
      <c r="I101" s="301" t="n"/>
      <c r="J101" s="301" t="n"/>
    </row>
    <row r="102" ht="15" customHeight="1" s="221">
      <c r="A102" s="313" t="n"/>
      <c r="B102" s="318" t="n"/>
      <c r="C102" s="316" t="n"/>
      <c r="D102" s="316" t="n"/>
      <c r="E102" s="317" t="n"/>
      <c r="F102" s="317" t="n"/>
      <c r="G102" s="318" t="n"/>
      <c r="H102" s="316" t="n"/>
      <c r="I102" s="301" t="n"/>
      <c r="J102" s="301" t="n"/>
    </row>
    <row r="103" ht="15" customHeight="1" s="221">
      <c r="A103" s="319" t="n"/>
      <c r="B103" s="324" t="n"/>
      <c r="C103" s="322" t="n"/>
      <c r="D103" s="322" t="n"/>
      <c r="E103" s="323" t="n"/>
      <c r="F103" s="323" t="n"/>
      <c r="G103" s="324" t="n"/>
      <c r="H103" s="322" t="n"/>
      <c r="I103" s="301" t="n"/>
      <c r="J103" s="301" t="n"/>
    </row>
    <row r="104" ht="15" customHeight="1" s="221">
      <c r="A104" s="325" t="inlineStr">
        <is>
          <t>TOTALES</t>
        </is>
      </c>
      <c r="E104" s="326">
        <f>SUM(E4:E103)</f>
        <v/>
      </c>
      <c r="F104" s="327">
        <f>SUM(F4:F103)</f>
        <v/>
      </c>
      <c r="G104" s="301" t="n"/>
      <c r="H104" s="301" t="n"/>
      <c r="I104" s="301" t="n"/>
      <c r="J104" s="301" t="n"/>
    </row>
    <row r="105" ht="18" customHeight="1" s="221">
      <c r="A105" s="301" t="n"/>
      <c r="B105" s="301" t="n"/>
      <c r="C105" s="301" t="n"/>
      <c r="D105" s="301" t="n"/>
      <c r="E105" s="328" t="n"/>
      <c r="F105" s="301" t="n"/>
      <c r="G105" s="301" t="n"/>
      <c r="H105" s="301" t="n"/>
      <c r="I105" s="301" t="n"/>
      <c r="J105" s="301" t="n"/>
    </row>
    <row r="106" ht="15" customHeight="1" s="221">
      <c r="A106" s="310" t="inlineStr">
        <is>
          <t>📊 RESUMEN DEL MES</t>
        </is>
      </c>
      <c r="D106" s="301" t="n"/>
      <c r="E106" s="328" t="n"/>
      <c r="F106" s="301" t="n"/>
      <c r="G106" s="301" t="n"/>
      <c r="H106" s="301" t="n"/>
      <c r="I106" s="301" t="n"/>
      <c r="J106" s="301" t="n"/>
    </row>
    <row r="107" ht="15" customHeight="1" s="221">
      <c r="A107" s="223" t="inlineStr">
        <is>
          <t>INGRESOS:</t>
        </is>
      </c>
      <c r="B107" s="301" t="n"/>
      <c r="C107" s="328">
        <f>SUMIF(B4:B103,"Ingreso NT",E4:E103)</f>
        <v/>
      </c>
      <c r="D107" s="301" t="n"/>
      <c r="E107" s="328" t="n"/>
      <c r="F107" s="301" t="n"/>
      <c r="G107" s="301" t="n"/>
      <c r="H107" s="301" t="n"/>
      <c r="I107" s="301" t="n"/>
      <c r="J107" s="301" t="n"/>
    </row>
    <row r="108" ht="15" customHeight="1" s="221">
      <c r="A108" s="301" t="inlineStr">
        <is>
          <t xml:space="preserve">  Ingreso NT:</t>
        </is>
      </c>
      <c r="B108" s="301" t="n"/>
      <c r="C108" s="329">
        <f>SUMIF(B4:B103,"Ingreso NT",E4:E103)</f>
        <v/>
      </c>
      <c r="D108" s="301" t="n"/>
      <c r="E108" s="328" t="n"/>
      <c r="F108" s="301" t="n"/>
      <c r="G108" s="301" t="n"/>
      <c r="H108" s="301" t="n"/>
      <c r="I108" s="301" t="n"/>
      <c r="J108" s="301" t="n"/>
    </row>
    <row r="109" ht="15" customHeight="1" s="221">
      <c r="A109" s="301" t="inlineStr">
        <is>
          <t xml:space="preserve">  Ingreso Marco:</t>
        </is>
      </c>
      <c r="B109" s="301" t="n"/>
      <c r="C109" s="330">
        <f>SUMIF(B4:B103,"Ingreso Marco",E4:E103)</f>
        <v/>
      </c>
      <c r="D109" s="301" t="n"/>
      <c r="E109" s="328" t="n"/>
      <c r="F109" s="301" t="n"/>
      <c r="G109" s="301" t="n"/>
      <c r="H109" s="301" t="n"/>
      <c r="I109" s="301" t="n"/>
      <c r="J109" s="301" t="n"/>
    </row>
    <row r="110" ht="15" customHeight="1" s="221">
      <c r="A110" s="301" t="inlineStr">
        <is>
          <t xml:space="preserve">  Ingreso Clara:</t>
        </is>
      </c>
      <c r="B110" s="301" t="n"/>
      <c r="C110" s="331">
        <f>SUMIF(B4:B103,"Ingreso Clara",E4:E103)</f>
        <v/>
      </c>
      <c r="D110" s="301" t="n"/>
      <c r="E110" s="328" t="n"/>
      <c r="F110" s="301" t="n"/>
      <c r="G110" s="301" t="n"/>
      <c r="H110" s="301" t="n"/>
      <c r="I110" s="301" t="n"/>
      <c r="J110" s="301" t="n"/>
    </row>
    <row r="111" ht="15" customHeight="1" s="221">
      <c r="A111" s="301" t="inlineStr">
        <is>
          <t xml:space="preserve">  Devolución Fam → NT:</t>
        </is>
      </c>
      <c r="B111" s="301" t="n"/>
      <c r="C111" s="332">
        <f>SUMIF(B4:B103,"Devolución Familia → NT",E4:E103)</f>
        <v/>
      </c>
      <c r="D111" s="301" t="n"/>
      <c r="E111" s="328" t="n"/>
      <c r="F111" s="301" t="n"/>
      <c r="G111" s="301" t="n"/>
      <c r="H111" s="301" t="n"/>
      <c r="I111" s="301" t="n"/>
      <c r="J111" s="301" t="n"/>
    </row>
    <row r="112" ht="15" customHeight="1" s="221">
      <c r="A112" s="223" t="inlineStr">
        <is>
          <t xml:space="preserve">  TOTAL INGRESOS:</t>
        </is>
      </c>
      <c r="B112" s="301" t="n"/>
      <c r="C112" s="333">
        <f>SUM(C108:C111)</f>
        <v/>
      </c>
      <c r="D112" s="301" t="n"/>
      <c r="E112" s="328" t="n"/>
      <c r="F112" s="301" t="n"/>
      <c r="G112" s="301" t="n"/>
      <c r="H112" s="301" t="n"/>
      <c r="I112" s="301" t="n"/>
      <c r="J112" s="301" t="n"/>
    </row>
    <row r="113" ht="15" customHeight="1" s="221">
      <c r="A113" s="301" t="inlineStr">
        <is>
          <t>EGRESOS:</t>
        </is>
      </c>
      <c r="B113" s="301" t="n"/>
      <c r="C113" s="301" t="n"/>
      <c r="D113" s="301" t="n"/>
      <c r="E113" s="328" t="n"/>
      <c r="F113" s="301" t="n"/>
      <c r="G113" s="301" t="n"/>
      <c r="H113" s="301" t="n"/>
      <c r="I113" s="301" t="n"/>
      <c r="J113" s="301" t="n"/>
    </row>
    <row r="114" ht="15" customHeight="1" s="221">
      <c r="A114" s="223" t="inlineStr">
        <is>
          <t>EGRESOS:</t>
        </is>
      </c>
      <c r="B114" s="301" t="n"/>
      <c r="C114" s="328">
        <f>SUMIF(B4:B103,"Egreso NT",F4:F103)</f>
        <v/>
      </c>
      <c r="D114" s="301" t="n"/>
      <c r="E114" s="328" t="n"/>
      <c r="F114" s="301" t="n"/>
      <c r="G114" s="301" t="n"/>
      <c r="H114" s="301" t="n"/>
      <c r="I114" s="301" t="n"/>
      <c r="J114" s="301" t="n"/>
    </row>
    <row r="115" ht="15" customHeight="1" s="221">
      <c r="A115" s="301" t="inlineStr">
        <is>
          <t xml:space="preserve">  Egreso NT:</t>
        </is>
      </c>
      <c r="B115" s="301" t="n"/>
      <c r="C115" s="334">
        <f>SUMIF(B4:B103,"Egreso NT",F4:F103)</f>
        <v/>
      </c>
      <c r="D115" s="301" t="n"/>
      <c r="E115" s="328" t="n"/>
      <c r="F115" s="301" t="n"/>
      <c r="G115" s="301" t="n"/>
      <c r="H115" s="301" t="n"/>
      <c r="I115" s="301" t="n"/>
      <c r="J115" s="301" t="n"/>
    </row>
    <row r="116" ht="15" customHeight="1" s="221">
      <c r="A116" s="301" t="inlineStr">
        <is>
          <t xml:space="preserve">  Egreso Familiar:</t>
        </is>
      </c>
      <c r="B116" s="301" t="n"/>
      <c r="C116" s="335">
        <f>SUMIF(B4:B103,"Egreso Familiar",F4:F103)</f>
        <v/>
      </c>
      <c r="D116" s="301" t="n"/>
      <c r="E116" s="328" t="n"/>
      <c r="F116" s="301" t="n"/>
      <c r="G116" s="301" t="n"/>
      <c r="H116" s="301" t="n"/>
      <c r="I116" s="301" t="n"/>
      <c r="J116" s="301" t="n"/>
    </row>
    <row r="117" ht="15" customHeight="1" s="221">
      <c r="A117" s="301" t="inlineStr">
        <is>
          <t xml:space="preserve">  Préstamo NT → Fam:</t>
        </is>
      </c>
      <c r="B117" s="301" t="n"/>
      <c r="C117" s="336">
        <f>SUMIF(B4:B103,"Préstamo NT → Familia",F4:F103)</f>
        <v/>
      </c>
      <c r="D117" s="301" t="n"/>
      <c r="E117" s="328" t="n"/>
      <c r="F117" s="301" t="n"/>
      <c r="G117" s="301" t="n"/>
      <c r="H117" s="301" t="n"/>
      <c r="I117" s="301" t="n"/>
      <c r="J117" s="301" t="n"/>
    </row>
    <row r="118" ht="15" customHeight="1" s="221">
      <c r="A118" s="223" t="inlineStr">
        <is>
          <t xml:space="preserve">  TOTAL EGRESOS:</t>
        </is>
      </c>
      <c r="B118" s="301" t="n"/>
      <c r="C118" s="337">
        <f>SUM(C115:C117)</f>
        <v/>
      </c>
      <c r="D118" s="301" t="n"/>
      <c r="E118" s="328" t="n"/>
      <c r="F118" s="301" t="n"/>
      <c r="G118" s="301" t="n"/>
      <c r="H118" s="301" t="n"/>
      <c r="I118" s="301" t="n"/>
      <c r="J118" s="301" t="n"/>
    </row>
    <row r="119" ht="15" customHeight="1" s="221">
      <c r="A119" s="301" t="n"/>
      <c r="B119" s="301" t="n"/>
      <c r="C119" s="301" t="n"/>
      <c r="D119" s="301" t="n"/>
      <c r="E119" s="328" t="n"/>
      <c r="F119" s="301" t="n"/>
      <c r="G119" s="301" t="n"/>
      <c r="H119" s="301" t="n"/>
      <c r="I119" s="301" t="n"/>
      <c r="J119" s="301" t="n"/>
    </row>
    <row r="120" ht="15" customHeight="1" s="221">
      <c r="A120" s="223" t="inlineStr">
        <is>
          <t>SALDO PRÉSTAMO NT → FAM:</t>
        </is>
      </c>
      <c r="B120" s="301" t="n"/>
      <c r="C120" s="338">
        <f>C117-C111</f>
        <v/>
      </c>
      <c r="D120" s="301" t="n"/>
      <c r="E120" s="328" t="n"/>
      <c r="F120" s="301" t="n"/>
      <c r="G120" s="301" t="n"/>
      <c r="H120" s="301" t="n"/>
      <c r="I120" s="301" t="n"/>
      <c r="J120" s="301" t="n"/>
    </row>
    <row r="121" ht="15" customHeight="1" s="221">
      <c r="A121" s="339" t="inlineStr">
        <is>
          <t>(Prestado - Devuelto)</t>
        </is>
      </c>
      <c r="B121" s="301" t="n"/>
      <c r="C121" s="301" t="n"/>
      <c r="D121" s="301" t="n"/>
      <c r="E121" s="328" t="n"/>
      <c r="F121" s="301" t="n"/>
      <c r="G121" s="301" t="n"/>
      <c r="H121" s="301" t="n"/>
      <c r="I121" s="301" t="n"/>
      <c r="J121" s="301" t="n"/>
    </row>
    <row r="122" ht="15" customHeight="1" s="221">
      <c r="A122" s="301" t="n"/>
      <c r="B122" s="301" t="n"/>
      <c r="C122" s="301" t="n"/>
      <c r="D122" s="301" t="n"/>
      <c r="E122" s="328" t="n"/>
      <c r="F122" s="301" t="n"/>
      <c r="G122" s="301" t="n"/>
      <c r="H122" s="301" t="n"/>
      <c r="I122" s="301" t="n"/>
      <c r="J122" s="301" t="n"/>
    </row>
    <row r="123" ht="15" customHeight="1" s="221">
      <c r="A123" s="301" t="n"/>
      <c r="B123" s="301" t="n"/>
      <c r="C123" s="301" t="n"/>
      <c r="D123" s="301" t="n"/>
      <c r="E123" s="328" t="n"/>
      <c r="F123" s="301" t="n"/>
      <c r="G123" s="301" t="n"/>
      <c r="H123" s="301" t="n"/>
      <c r="I123" s="301" t="n"/>
      <c r="J123" s="301" t="n"/>
    </row>
    <row r="124" ht="15" customHeight="1" s="221">
      <c r="A124" s="301" t="n"/>
      <c r="B124" s="301" t="n"/>
      <c r="C124" s="301" t="n"/>
      <c r="D124" s="301" t="n"/>
      <c r="E124" s="328" t="n"/>
      <c r="F124" s="301" t="n"/>
      <c r="G124" s="301" t="n"/>
      <c r="H124" s="301" t="n"/>
      <c r="I124" s="301" t="n"/>
      <c r="J124" s="301" t="n"/>
    </row>
    <row r="125" ht="15" customHeight="1" s="221">
      <c r="A125" s="301" t="n"/>
      <c r="B125" s="301" t="n"/>
      <c r="C125" s="301" t="n"/>
      <c r="D125" s="301" t="n"/>
      <c r="E125" s="328" t="n"/>
      <c r="F125" s="301" t="n"/>
      <c r="G125" s="301" t="n"/>
      <c r="H125" s="301" t="n"/>
      <c r="I125" s="301" t="n"/>
      <c r="J125" s="301" t="n"/>
    </row>
    <row r="126" ht="15" customHeight="1" s="221">
      <c r="A126" s="301" t="n"/>
      <c r="B126" s="301" t="n"/>
      <c r="C126" s="301" t="n"/>
      <c r="D126" s="301" t="n"/>
      <c r="E126" s="328" t="n"/>
      <c r="F126" s="301" t="n"/>
      <c r="G126" s="301" t="n"/>
      <c r="H126" s="301" t="n"/>
      <c r="I126" s="301" t="n"/>
      <c r="J126" s="301" t="n"/>
    </row>
    <row r="127" ht="15" customHeight="1" s="221">
      <c r="A127" s="301" t="n"/>
      <c r="B127" s="301" t="n"/>
      <c r="C127" s="301" t="n"/>
      <c r="D127" s="301" t="n"/>
      <c r="E127" s="328" t="n"/>
      <c r="F127" s="301" t="n"/>
      <c r="G127" s="301" t="n"/>
      <c r="H127" s="301" t="n"/>
      <c r="I127" s="301" t="n"/>
      <c r="J127" s="301" t="n"/>
    </row>
    <row r="128" ht="15" customHeight="1" s="221">
      <c r="A128" s="301" t="n"/>
      <c r="B128" s="301" t="n"/>
      <c r="C128" s="301" t="n"/>
      <c r="D128" s="301" t="n"/>
      <c r="E128" s="328" t="n"/>
      <c r="F128" s="301" t="n"/>
      <c r="G128" s="301" t="n"/>
      <c r="H128" s="301" t="n"/>
      <c r="I128" s="301" t="n"/>
      <c r="J128" s="301" t="n"/>
    </row>
    <row r="129" ht="15" customHeight="1" s="221">
      <c r="A129" s="301" t="n"/>
      <c r="B129" s="301" t="n"/>
      <c r="C129" s="301" t="n"/>
      <c r="D129" s="301" t="n"/>
      <c r="E129" s="328" t="n"/>
      <c r="F129" s="301" t="n"/>
      <c r="G129" s="301" t="n"/>
      <c r="H129" s="301" t="n"/>
      <c r="I129" s="301" t="n"/>
      <c r="J129" s="301" t="n"/>
    </row>
    <row r="130" ht="15" customHeight="1" s="221">
      <c r="A130" s="301" t="n"/>
      <c r="B130" s="301" t="n"/>
      <c r="C130" s="301" t="n"/>
      <c r="D130" s="301" t="n"/>
      <c r="E130" s="328" t="n"/>
      <c r="F130" s="301" t="n"/>
      <c r="G130" s="301" t="n"/>
      <c r="H130" s="301" t="n"/>
      <c r="I130" s="301" t="n"/>
      <c r="J130" s="301" t="n"/>
    </row>
    <row r="131" ht="15" customHeight="1" s="221">
      <c r="A131" s="301" t="n"/>
      <c r="B131" s="301" t="n"/>
      <c r="C131" s="301" t="n"/>
      <c r="D131" s="301" t="n"/>
      <c r="E131" s="328" t="n"/>
      <c r="F131" s="301" t="n"/>
      <c r="G131" s="301" t="n"/>
      <c r="H131" s="301" t="n"/>
      <c r="I131" s="301" t="n"/>
      <c r="J131" s="301" t="n"/>
    </row>
    <row r="132" ht="15" customHeight="1" s="221">
      <c r="A132" s="301" t="n"/>
      <c r="B132" s="301" t="n"/>
      <c r="C132" s="301" t="n"/>
      <c r="D132" s="301" t="n"/>
      <c r="E132" s="328" t="n"/>
      <c r="F132" s="301" t="n"/>
      <c r="G132" s="301" t="n"/>
      <c r="H132" s="301" t="n"/>
      <c r="I132" s="301" t="n"/>
      <c r="J132" s="301" t="n"/>
    </row>
    <row r="133" ht="15" customHeight="1" s="221">
      <c r="A133" s="301" t="n"/>
      <c r="B133" s="301" t="n"/>
      <c r="C133" s="301" t="n"/>
      <c r="D133" s="301" t="n"/>
      <c r="E133" s="328" t="n"/>
      <c r="F133" s="301" t="n"/>
      <c r="G133" s="301" t="n"/>
      <c r="H133" s="301" t="n"/>
      <c r="I133" s="301" t="n"/>
      <c r="J133" s="301" t="n"/>
    </row>
    <row r="134" ht="15" customHeight="1" s="221">
      <c r="A134" s="301" t="n"/>
      <c r="B134" s="301" t="n"/>
      <c r="C134" s="301" t="n"/>
      <c r="D134" s="301" t="n"/>
      <c r="E134" s="328" t="n"/>
      <c r="F134" s="301" t="n"/>
      <c r="G134" s="301" t="n"/>
      <c r="H134" s="301" t="n"/>
      <c r="I134" s="301" t="n"/>
      <c r="J134" s="301" t="n"/>
    </row>
    <row r="135" ht="15" customHeight="1" s="221">
      <c r="A135" s="301" t="n"/>
      <c r="B135" s="301" t="n"/>
      <c r="C135" s="301" t="n"/>
      <c r="D135" s="301" t="n"/>
      <c r="E135" s="328" t="n"/>
      <c r="F135" s="301" t="n"/>
      <c r="G135" s="301" t="n"/>
      <c r="H135" s="301" t="n"/>
      <c r="I135" s="301" t="n"/>
      <c r="J135" s="301" t="n"/>
    </row>
    <row r="136" ht="15" customHeight="1" s="221">
      <c r="A136" s="301" t="n"/>
      <c r="B136" s="301" t="n"/>
      <c r="C136" s="301" t="n"/>
      <c r="D136" s="301" t="n"/>
      <c r="E136" s="328" t="n"/>
      <c r="F136" s="301" t="n"/>
      <c r="G136" s="301" t="n"/>
      <c r="H136" s="301" t="n"/>
      <c r="I136" s="301" t="n"/>
      <c r="J136" s="301" t="n"/>
    </row>
    <row r="137" ht="15" customHeight="1" s="221">
      <c r="A137" s="301" t="n"/>
      <c r="B137" s="301" t="n"/>
      <c r="C137" s="301" t="n"/>
      <c r="D137" s="301" t="n"/>
      <c r="E137" s="328" t="n"/>
      <c r="F137" s="301" t="n"/>
      <c r="G137" s="301" t="n"/>
      <c r="H137" s="301" t="n"/>
      <c r="I137" s="301" t="n"/>
      <c r="J137" s="301" t="n"/>
    </row>
    <row r="138" ht="15" customHeight="1" s="221">
      <c r="A138" s="301" t="n"/>
      <c r="B138" s="301" t="n"/>
      <c r="C138" s="301" t="n"/>
      <c r="D138" s="301" t="n"/>
      <c r="E138" s="328" t="n"/>
      <c r="F138" s="301" t="n"/>
      <c r="G138" s="301" t="n"/>
      <c r="H138" s="301" t="n"/>
      <c r="I138" s="301" t="n"/>
      <c r="J138" s="301" t="n"/>
    </row>
    <row r="139" ht="15" customHeight="1" s="221">
      <c r="A139" s="301" t="n"/>
      <c r="B139" s="301" t="n"/>
      <c r="C139" s="301" t="n"/>
      <c r="D139" s="301" t="n"/>
      <c r="E139" s="301" t="n"/>
      <c r="F139" s="301" t="n"/>
      <c r="G139" s="301" t="n"/>
      <c r="H139" s="301" t="n"/>
      <c r="I139" s="301" t="n"/>
      <c r="J139" s="301" t="n"/>
    </row>
    <row r="140" ht="15" customHeight="1" s="221">
      <c r="A140" s="301" t="n"/>
      <c r="B140" s="301" t="n"/>
      <c r="C140" s="301" t="n"/>
      <c r="D140" s="301" t="n"/>
      <c r="E140" s="301" t="n"/>
      <c r="F140" s="301" t="n"/>
      <c r="G140" s="301" t="n"/>
      <c r="H140" s="301" t="n"/>
      <c r="I140" s="301" t="n"/>
      <c r="J140" s="301" t="n"/>
    </row>
    <row r="141" ht="15" customHeight="1" s="221">
      <c r="A141" s="301" t="n"/>
      <c r="B141" s="301" t="n"/>
      <c r="C141" s="301" t="n"/>
      <c r="D141" s="301" t="n"/>
      <c r="E141" s="301" t="n"/>
      <c r="F141" s="301" t="n"/>
      <c r="G141" s="301" t="n"/>
      <c r="H141" s="301" t="n"/>
      <c r="I141" s="301" t="n"/>
      <c r="J141" s="301" t="n"/>
    </row>
    <row r="142" ht="15" customHeight="1" s="221">
      <c r="A142" s="301" t="n"/>
      <c r="B142" s="301" t="n"/>
      <c r="C142" s="301" t="n"/>
      <c r="D142" s="301" t="n"/>
      <c r="E142" s="301" t="n"/>
      <c r="F142" s="301" t="n"/>
      <c r="G142" s="301" t="n"/>
      <c r="H142" s="301" t="n"/>
      <c r="I142" s="301" t="n"/>
      <c r="J142" s="301" t="n"/>
    </row>
    <row r="143" ht="15" customHeight="1" s="221">
      <c r="A143" s="301" t="n"/>
      <c r="B143" s="301" t="n"/>
      <c r="C143" s="301" t="n"/>
      <c r="D143" s="301" t="n"/>
      <c r="E143" s="301" t="n"/>
      <c r="F143" s="301" t="n"/>
      <c r="G143" s="301" t="n"/>
      <c r="H143" s="301" t="n"/>
      <c r="I143" s="301" t="n"/>
      <c r="J143" s="301" t="n"/>
    </row>
    <row r="144" ht="15" customHeight="1" s="221">
      <c r="A144" s="301" t="n"/>
      <c r="B144" s="301" t="n"/>
      <c r="C144" s="301" t="n"/>
      <c r="D144" s="301" t="n"/>
      <c r="E144" s="301" t="n"/>
      <c r="F144" s="301" t="n"/>
      <c r="G144" s="301" t="n"/>
      <c r="H144" s="301" t="n"/>
      <c r="I144" s="301" t="n"/>
      <c r="J144" s="301" t="n"/>
    </row>
    <row r="145" ht="15" customHeight="1" s="221">
      <c r="A145" s="301" t="n"/>
      <c r="B145" s="301" t="n"/>
      <c r="C145" s="301" t="n"/>
      <c r="D145" s="301" t="n"/>
      <c r="E145" s="301" t="n"/>
      <c r="F145" s="301" t="n"/>
      <c r="G145" s="301" t="n"/>
      <c r="H145" s="301" t="n"/>
      <c r="I145" s="301" t="n"/>
      <c r="J145" s="301" t="n"/>
    </row>
    <row r="146" ht="15" customHeight="1" s="221">
      <c r="A146" s="301" t="n"/>
      <c r="B146" s="301" t="n"/>
      <c r="C146" s="301" t="n"/>
      <c r="D146" s="301" t="n"/>
      <c r="E146" s="301" t="n"/>
      <c r="F146" s="301" t="n"/>
      <c r="G146" s="301" t="n"/>
      <c r="H146" s="301" t="n"/>
      <c r="I146" s="301" t="n"/>
      <c r="J146" s="301" t="n"/>
    </row>
    <row r="147" ht="15" customHeight="1" s="221">
      <c r="A147" s="301" t="n"/>
      <c r="B147" s="301" t="n"/>
      <c r="C147" s="301" t="n"/>
      <c r="D147" s="301" t="n"/>
      <c r="E147" s="301" t="n"/>
      <c r="F147" s="301" t="n"/>
      <c r="G147" s="301" t="n"/>
      <c r="H147" s="301" t="n"/>
      <c r="I147" s="301" t="n"/>
      <c r="J147" s="301" t="n"/>
    </row>
    <row r="148" ht="15" customHeight="1" s="221">
      <c r="A148" s="301" t="n"/>
      <c r="B148" s="301" t="n"/>
      <c r="C148" s="301" t="n"/>
      <c r="D148" s="301" t="n"/>
      <c r="E148" s="301" t="n"/>
      <c r="F148" s="301" t="n"/>
      <c r="G148" s="301" t="n"/>
      <c r="H148" s="301" t="n"/>
      <c r="I148" s="301" t="n"/>
      <c r="J148" s="301" t="n"/>
    </row>
    <row r="149" ht="15" customHeight="1" s="221">
      <c r="A149" s="301" t="n"/>
      <c r="B149" s="301" t="n"/>
      <c r="C149" s="301" t="n"/>
      <c r="D149" s="301" t="n"/>
      <c r="E149" s="301" t="n"/>
      <c r="F149" s="301" t="n"/>
      <c r="G149" s="301" t="n"/>
      <c r="H149" s="301" t="n"/>
      <c r="I149" s="301" t="n"/>
      <c r="J149" s="301" t="n"/>
    </row>
    <row r="150" ht="15" customHeight="1" s="221">
      <c r="A150" s="301" t="n"/>
      <c r="B150" s="301" t="n"/>
      <c r="C150" s="301" t="n"/>
      <c r="D150" s="301" t="n"/>
      <c r="E150" s="301" t="n"/>
      <c r="F150" s="301" t="n"/>
      <c r="G150" s="301" t="n"/>
      <c r="H150" s="301" t="n"/>
      <c r="I150" s="301" t="n"/>
      <c r="J150" s="301" t="n"/>
    </row>
  </sheetData>
  <mergeCells count="3">
    <mergeCell ref="A104:D104"/>
    <mergeCell ref="A106:C106"/>
    <mergeCell ref="A1:H1"/>
  </mergeCells>
  <dataValidations count="2">
    <dataValidation sqref="B4:B103" showDropDown="0" showInputMessage="0" showErrorMessage="0" allowBlank="1" type="list" errorStyle="stop" operator="between">
      <formula1>"Familiar,NeuroTEA"</formula1>
      <formula2>0</formula2>
    </dataValidation>
    <dataValidation sqref="C4:C103" showDropDown="0" showInputMessage="0" showErrorMessage="0" allowBlank="1" type="list" errorStyle="stop" operator="between">
      <formula1>"Combustible,Supermercado,Farmacia,Recreación,Gastos Varios,Reserva Fam 1,Reserva Fam 2,Reserva Fam 3,Insumos NT,Papelería NT,Mantenimiento NT,Festejos NT,Gastos Cursos NT,Gastos Varios NT,Reserva NT 1,Reserva NT 2,Reserva NT 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3498DB"/>
    <outlinePr summaryBelow="1" summaryRight="1"/>
    <pageSetUpPr fitToPage="0"/>
  </sheetPr>
  <dimension ref="A1:L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M6" activeCellId="0" sqref="M6"/>
    </sheetView>
  </sheetViews>
  <sheetFormatPr baseColWidth="8" defaultColWidth="8.71484375" defaultRowHeight="15" zeroHeight="0" outlineLevelRow="0"/>
  <cols>
    <col width="24" customWidth="1" style="220" min="1" max="1"/>
    <col width="12" customWidth="1" style="220" min="2" max="2"/>
    <col width="14" customWidth="1" style="220" min="3" max="4"/>
    <col width="2" customWidth="1" style="220" min="5" max="6"/>
    <col width="24" customWidth="1" style="220" min="7" max="7"/>
    <col width="12" customWidth="1" style="220" min="8" max="8"/>
    <col width="14" customWidth="1" style="220" min="9" max="10"/>
  </cols>
  <sheetData>
    <row r="1" ht="34.5" customHeight="1" s="221">
      <c r="A1" s="340" t="inlineStr">
        <is>
          <t>📊 CONTROL FINANCIERO - ENERO 2026</t>
        </is>
      </c>
      <c r="K1" s="301" t="n"/>
      <c r="L1" s="301" t="n"/>
    </row>
    <row r="2" ht="15" customHeight="1" s="221">
      <c r="A2" s="301" t="n"/>
      <c r="B2" s="301" t="n"/>
      <c r="C2" s="301" t="n"/>
      <c r="D2" s="301" t="n"/>
      <c r="E2" s="301" t="n"/>
      <c r="F2" s="301" t="n"/>
      <c r="G2" s="301" t="n"/>
      <c r="H2" s="301" t="n"/>
      <c r="I2" s="301" t="n"/>
      <c r="J2" s="301" t="n"/>
      <c r="K2" s="301" t="n"/>
      <c r="L2" s="301" t="n"/>
    </row>
    <row r="3" ht="15" customHeight="1" s="221">
      <c r="A3" s="341" t="inlineStr">
        <is>
          <t>TOTAL INGRESOS</t>
        </is>
      </c>
      <c r="C3" s="301" t="n"/>
      <c r="D3" s="342" t="inlineStr">
        <is>
          <t>GASTOS PAGADOS</t>
        </is>
      </c>
      <c r="F3" s="301" t="n"/>
      <c r="G3" s="343" t="inlineStr">
        <is>
          <t>GASTOS PENDIENTES</t>
        </is>
      </c>
      <c r="I3" s="301" t="n"/>
      <c r="J3" s="344" t="inlineStr">
        <is>
          <t>BALANCE</t>
        </is>
      </c>
      <c r="K3" s="301" t="n"/>
      <c r="L3" s="301" t="n"/>
    </row>
    <row r="4" ht="22.5" customHeight="1" s="221">
      <c r="A4" s="345">
        <f>D26+J12</f>
        <v/>
      </c>
      <c r="C4" s="328" t="n"/>
      <c r="D4" s="346">
        <f>D65+I58</f>
        <v/>
      </c>
      <c r="F4" s="301" t="n"/>
      <c r="G4" s="347">
        <f>D66+I59</f>
        <v/>
      </c>
      <c r="I4" s="301" t="n"/>
      <c r="J4" s="348">
        <f>A4-D4-G4</f>
        <v/>
      </c>
      <c r="K4" s="301" t="n"/>
      <c r="L4" s="301" t="n"/>
    </row>
    <row r="5" ht="15" customHeight="1" s="221">
      <c r="A5" s="301" t="n"/>
      <c r="B5" s="301" t="n"/>
      <c r="C5" s="301" t="n"/>
      <c r="D5" s="301" t="n"/>
      <c r="E5" s="301" t="n"/>
      <c r="F5" s="301" t="n"/>
      <c r="G5" s="301" t="n"/>
      <c r="H5" s="301" t="n"/>
      <c r="I5" s="301" t="n"/>
      <c r="J5" s="301" t="n"/>
      <c r="K5" s="301" t="n"/>
      <c r="L5" s="301" t="n"/>
    </row>
    <row r="6" ht="15.75" customHeight="1" s="221">
      <c r="A6" s="349" t="inlineStr">
        <is>
          <t>⚠️ PRÉSTAMO NT → FAMILIA</t>
        </is>
      </c>
      <c r="D6" s="350">
        <f>SUMIF('Ing-Egr Enero 2026'!B4:B103,"Préstamo NT → Familia",'Ing-Egr Enero 2026'!F4:F103)-SUMIF('Ing-Egr Enero 2026'!B4:B103,"Devolución Familia → NT",'Ing-Egr Enero 2026'!E4:E103)</f>
        <v/>
      </c>
      <c r="E6" s="301" t="n"/>
      <c r="F6" s="351" t="inlineStr">
        <is>
          <t>Estado:</t>
        </is>
      </c>
      <c r="G6" s="351">
        <f>IF(D6=0,"🟢 SANO","🔴 FUGA")</f>
        <v/>
      </c>
      <c r="H6" s="301" t="n"/>
      <c r="I6" s="339" t="inlineStr">
        <is>
          <t>(Ideal = 0)</t>
        </is>
      </c>
      <c r="J6" s="301" t="n"/>
      <c r="K6" s="301" t="n"/>
      <c r="L6" s="301" t="n"/>
    </row>
    <row r="7" ht="15" customHeight="1" s="221">
      <c r="A7" s="301" t="n"/>
      <c r="B7" s="301" t="n"/>
      <c r="C7" s="301" t="n"/>
      <c r="D7" s="301" t="n"/>
      <c r="E7" s="301" t="n"/>
      <c r="F7" s="301" t="n"/>
      <c r="G7" s="301" t="n"/>
      <c r="H7" s="301" t="n"/>
      <c r="I7" s="301" t="n"/>
      <c r="J7" s="301" t="n"/>
      <c r="K7" s="301" t="n"/>
      <c r="L7" s="301" t="n"/>
    </row>
    <row r="8" ht="15" customHeight="1" s="221">
      <c r="A8" s="352" t="inlineStr">
        <is>
          <t>💵 INGRESOS FAMILIA</t>
        </is>
      </c>
      <c r="B8" s="256" t="n"/>
      <c r="C8" s="256" t="n"/>
      <c r="D8" s="353" t="n"/>
      <c r="E8" s="354" t="n"/>
      <c r="F8" s="354" t="n"/>
      <c r="G8" s="355" t="inlineStr">
        <is>
          <t>💵 INGRESOS NEUROTEA</t>
        </is>
      </c>
      <c r="H8" s="256" t="n"/>
      <c r="I8" s="256" t="n"/>
      <c r="J8" s="353" t="n"/>
      <c r="K8" s="301" t="n"/>
      <c r="L8" s="301" t="n"/>
    </row>
    <row r="9" ht="15" customHeight="1" s="221">
      <c r="A9" s="356" t="inlineStr">
        <is>
          <t>MARCO ITAIPU</t>
        </is>
      </c>
      <c r="B9" s="353" t="n"/>
      <c r="C9" s="357" t="inlineStr">
        <is>
          <t>Fecha</t>
        </is>
      </c>
      <c r="D9" s="358" t="inlineStr">
        <is>
          <t>Monto</t>
        </is>
      </c>
      <c r="E9" s="359" t="n"/>
      <c r="F9" s="360" t="n"/>
      <c r="G9" s="361" t="inlineStr">
        <is>
          <t>Ingreso del Mes</t>
        </is>
      </c>
      <c r="H9" s="256" t="n"/>
      <c r="I9" s="353" t="n"/>
      <c r="J9" s="362" t="inlineStr">
        <is>
          <t>Monto</t>
        </is>
      </c>
      <c r="K9" s="301" t="n"/>
      <c r="L9" s="301" t="n"/>
    </row>
    <row r="10" ht="15" customHeight="1" s="221">
      <c r="A10" s="363" t="inlineStr">
        <is>
          <t>Salario Mensual</t>
        </is>
      </c>
      <c r="B10" s="364" t="n"/>
      <c r="C10" s="365" t="n"/>
      <c r="D10" s="366">
        <f>SUMIFS('Ing-Egr Enero 2026'!E4:E103,'Ing-Egr Enero 2026'!B4:B103,"Ingreso Marco",'Ing-Egr Enero 2026'!C4:C103,A10)</f>
        <v/>
      </c>
      <c r="E10" s="359" t="n"/>
      <c r="F10" s="360" t="n"/>
      <c r="G10" s="367" t="inlineStr">
        <is>
          <t>(Suma desde pestaña Ing-Egr Enero)</t>
        </is>
      </c>
      <c r="H10" s="256" t="n"/>
      <c r="I10" s="353" t="n"/>
      <c r="J10" s="368">
        <f>SUMIF('Ing-Egr Enero 2026'!B4:B103,"Ingreso NT",'Ing-Egr Enero 2026'!E4:E103)</f>
        <v/>
      </c>
      <c r="K10" s="301" t="n"/>
      <c r="L10" s="301" t="n"/>
    </row>
    <row r="11" ht="15" customHeight="1" s="221">
      <c r="A11" s="369" t="inlineStr">
        <is>
          <t>Vacaciones</t>
        </is>
      </c>
      <c r="B11" s="370" t="n"/>
      <c r="C11" s="371" t="n"/>
      <c r="D11" s="366">
        <f>SUMIFS('Ing-Egr Enero 2026'!E4:E103,'Ing-Egr Enero 2026'!B4:B103,"Ingreso Marco",'Ing-Egr Enero 2026'!C4:C103,A11)</f>
        <v/>
      </c>
      <c r="E11" s="359" t="n"/>
      <c r="F11" s="360" t="n"/>
      <c r="G11" s="359" t="n"/>
      <c r="H11" s="301" t="n"/>
      <c r="I11" s="301" t="n"/>
      <c r="J11" s="301" t="n"/>
      <c r="K11" s="301" t="n"/>
      <c r="L11" s="301" t="n"/>
    </row>
    <row r="12" ht="15" customHeight="1" s="221">
      <c r="A12" s="363" t="inlineStr">
        <is>
          <t>Aguinaldo</t>
        </is>
      </c>
      <c r="B12" s="364" t="n"/>
      <c r="C12" s="365" t="n"/>
      <c r="D12" s="366">
        <f>SUMIFS('Ing-Egr Enero 2026'!E4:E103,'Ing-Egr Enero 2026'!B4:B103,"Ingreso Marco",'Ing-Egr Enero 2026'!C4:C103,A12)</f>
        <v/>
      </c>
      <c r="E12" s="359" t="n"/>
      <c r="F12" s="360" t="n"/>
      <c r="G12" s="372" t="inlineStr">
        <is>
          <t>═══ TOTAL INGRESOS NT ═══</t>
        </is>
      </c>
      <c r="H12" s="256" t="n"/>
      <c r="I12" s="353" t="n"/>
      <c r="J12" s="373">
        <f>J10</f>
        <v/>
      </c>
      <c r="K12" s="301" t="n"/>
      <c r="L12" s="301" t="n"/>
    </row>
    <row r="13" ht="15" customHeight="1" s="221">
      <c r="A13" s="369" t="inlineStr">
        <is>
          <t>Viático</t>
        </is>
      </c>
      <c r="B13" s="370" t="n"/>
      <c r="C13" s="371" t="n"/>
      <c r="D13" s="366">
        <f>SUMIFS('Ing-Egr Enero 2026'!E4:E103,'Ing-Egr Enero 2026'!B4:B103,"Ingreso Marco",'Ing-Egr Enero 2026'!C4:C103,A13)</f>
        <v/>
      </c>
      <c r="E13" s="359" t="n"/>
      <c r="F13" s="360" t="n"/>
      <c r="G13" s="359" t="n"/>
      <c r="H13" s="301" t="n"/>
      <c r="I13" s="301" t="n"/>
      <c r="J13" s="301" t="n"/>
      <c r="K13" s="301" t="n"/>
      <c r="L13" s="301" t="n"/>
    </row>
    <row r="14" ht="15" customHeight="1" s="221">
      <c r="A14" s="363" t="inlineStr">
        <is>
          <t>Animador Bíblico</t>
        </is>
      </c>
      <c r="B14" s="364" t="n"/>
      <c r="C14" s="365" t="n"/>
      <c r="D14" s="366">
        <f>SUMIFS('Ing-Egr Enero 2026'!E4:E103,'Ing-Egr Enero 2026'!B4:B103,"Ingreso Marco",'Ing-Egr Enero 2026'!C4:C103,A14)</f>
        <v/>
      </c>
      <c r="E14" s="359" t="n"/>
      <c r="F14" s="360" t="n"/>
      <c r="G14" s="359" t="n"/>
      <c r="H14" s="301" t="n"/>
      <c r="I14" s="301" t="n"/>
      <c r="J14" s="301" t="n"/>
      <c r="K14" s="301" t="n"/>
      <c r="L14" s="301" t="n"/>
    </row>
    <row r="15" ht="15" customHeight="1" s="221">
      <c r="A15" s="369" t="inlineStr">
        <is>
          <t>Otros Ocasionales</t>
        </is>
      </c>
      <c r="B15" s="370" t="n"/>
      <c r="C15" s="371" t="n"/>
      <c r="D15" s="366">
        <f>SUMIFS('Ing-Egr Enero 2026'!E4:E103,'Ing-Egr Enero 2026'!B4:B103,"Ingreso Marco",'Ing-Egr Enero 2026'!C4:C103,A15)</f>
        <v/>
      </c>
      <c r="E15" s="359" t="n"/>
      <c r="F15" s="360" t="n"/>
      <c r="G15" s="359" t="n"/>
      <c r="H15" s="301" t="n"/>
      <c r="I15" s="374">
        <f>J12</f>
        <v/>
      </c>
      <c r="J15" s="301" t="n"/>
      <c r="K15" s="301" t="n"/>
      <c r="L15" s="301" t="n"/>
    </row>
    <row r="16" ht="15" customHeight="1" s="221">
      <c r="A16" s="375" t="inlineStr">
        <is>
          <t>TOTAL MARCO</t>
        </is>
      </c>
      <c r="B16" s="360" t="n"/>
      <c r="C16" s="359" t="n"/>
      <c r="D16" s="376">
        <f>SUM(D10:D15)</f>
        <v/>
      </c>
      <c r="E16" s="359" t="n"/>
      <c r="F16" s="360" t="n"/>
      <c r="G16" s="359" t="n"/>
      <c r="H16" s="301" t="n"/>
      <c r="I16" s="301" t="n"/>
      <c r="J16" s="301" t="n"/>
      <c r="K16" s="301" t="n"/>
      <c r="L16" s="301" t="n"/>
    </row>
    <row r="17" ht="15" customHeight="1" s="221">
      <c r="A17" s="377" t="inlineStr">
        <is>
          <t>CLARA</t>
        </is>
      </c>
      <c r="B17" s="353" t="n"/>
      <c r="C17" s="378" t="inlineStr">
        <is>
          <t>Fecha</t>
        </is>
      </c>
      <c r="D17" s="379" t="inlineStr">
        <is>
          <t>Monto</t>
        </is>
      </c>
      <c r="E17" s="359" t="n"/>
      <c r="F17" s="360" t="n"/>
      <c r="G17" s="359" t="n"/>
      <c r="H17" s="301" t="n"/>
      <c r="I17" s="301" t="n"/>
      <c r="J17" s="301" t="n"/>
      <c r="K17" s="301" t="n"/>
      <c r="L17" s="301" t="n"/>
    </row>
    <row r="18" ht="15" customHeight="1" s="221">
      <c r="A18" s="380" t="inlineStr">
        <is>
          <t>Honorarios Diarios</t>
        </is>
      </c>
      <c r="B18" s="381" t="n"/>
      <c r="C18" s="382" t="n"/>
      <c r="D18" s="383">
        <f>SUMIF('Ing-Egr Enero 2026'!B4:B103,"Ingreso Clara",'Ing-Egr Enero 2026'!E4:E103)</f>
        <v/>
      </c>
      <c r="E18" s="359" t="n"/>
      <c r="F18" s="360" t="n"/>
      <c r="G18" s="359" t="n"/>
      <c r="H18" s="301" t="n"/>
      <c r="I18" s="301" t="n"/>
      <c r="J18" s="301" t="n"/>
      <c r="K18" s="301" t="n"/>
      <c r="L18" s="301" t="n"/>
    </row>
    <row r="19" ht="15" customHeight="1" s="221">
      <c r="A19" s="384" t="inlineStr">
        <is>
          <t>TOTAL CLARA</t>
        </is>
      </c>
      <c r="B19" s="301" t="n"/>
      <c r="C19" s="301" t="n"/>
      <c r="D19" s="385">
        <f>D18</f>
        <v/>
      </c>
      <c r="E19" s="359" t="n"/>
      <c r="F19" s="360" t="n"/>
      <c r="G19" s="359" t="n"/>
      <c r="H19" s="301" t="n"/>
      <c r="I19" s="301" t="n"/>
      <c r="J19" s="301" t="n"/>
      <c r="K19" s="301" t="n"/>
      <c r="L19" s="301" t="n"/>
    </row>
    <row r="20" ht="15" customHeight="1" s="221">
      <c r="A20" s="386" t="inlineStr">
        <is>
          <t>DESDE NEUROTEA</t>
        </is>
      </c>
      <c r="D20" s="387" t="inlineStr">
        <is>
          <t>Monto</t>
        </is>
      </c>
      <c r="E20" s="359" t="n"/>
      <c r="F20" s="360" t="n"/>
      <c r="G20" s="359" t="n"/>
      <c r="H20" s="301" t="n"/>
      <c r="I20" s="301" t="n"/>
      <c r="J20" s="301" t="n"/>
      <c r="K20" s="301" t="n"/>
      <c r="L20" s="301" t="n"/>
    </row>
    <row r="21" ht="15" customHeight="1" s="221">
      <c r="A21" s="388" t="inlineStr">
        <is>
          <t>Salario Admin Marco</t>
        </is>
      </c>
      <c r="B21" s="388" t="n"/>
      <c r="C21" s="388" t="n"/>
      <c r="D21" s="389" t="n">
        <v>0</v>
      </c>
      <c r="E21" s="359" t="n"/>
      <c r="F21" s="360" t="n"/>
      <c r="G21" s="359" t="n"/>
      <c r="H21" s="301" t="n"/>
      <c r="I21" s="301" t="n"/>
      <c r="J21" s="301" t="n"/>
      <c r="K21" s="301" t="n"/>
      <c r="L21" s="301" t="n"/>
    </row>
    <row r="22" ht="15" customHeight="1" s="221">
      <c r="A22" s="390" t="inlineStr">
        <is>
          <t>Ganancia NT → Familia</t>
        </is>
      </c>
      <c r="B22" s="390" t="n"/>
      <c r="C22" s="390" t="n"/>
      <c r="D22" s="391" t="n">
        <v>0</v>
      </c>
      <c r="E22" s="359" t="n"/>
      <c r="F22" s="360" t="n"/>
      <c r="G22" s="359" t="n"/>
      <c r="H22" s="301" t="n"/>
      <c r="I22" s="301" t="n"/>
      <c r="J22" s="301" t="n"/>
      <c r="K22" s="301" t="n"/>
      <c r="L22" s="301" t="n"/>
    </row>
    <row r="23" ht="15" customHeight="1" s="221">
      <c r="A23" s="388" t="inlineStr">
        <is>
          <t>Préstamo NT (automático)</t>
        </is>
      </c>
      <c r="B23" s="388" t="n"/>
      <c r="C23" s="388" t="n"/>
      <c r="D23" s="389">
        <f>D6</f>
        <v/>
      </c>
      <c r="E23" s="359" t="n"/>
      <c r="F23" s="360" t="n"/>
      <c r="G23" s="359" t="n"/>
      <c r="H23" s="301" t="n"/>
      <c r="I23" s="301" t="n"/>
      <c r="J23" s="301" t="n"/>
      <c r="K23" s="301" t="n"/>
      <c r="L23" s="301" t="n"/>
    </row>
    <row r="24" ht="15" customHeight="1" s="221">
      <c r="A24" s="392" t="inlineStr">
        <is>
          <t>TOTAL DESDE NT</t>
        </is>
      </c>
      <c r="B24" s="301" t="n"/>
      <c r="C24" s="301" t="n"/>
      <c r="D24" s="393">
        <f>SUM(D21:D23)</f>
        <v/>
      </c>
      <c r="E24" s="359" t="n"/>
      <c r="F24" s="360" t="n"/>
      <c r="G24" s="359" t="n"/>
      <c r="H24" s="301" t="n"/>
      <c r="I24" s="301" t="n"/>
      <c r="J24" s="301" t="n"/>
      <c r="K24" s="301" t="n"/>
      <c r="L24" s="301" t="n"/>
    </row>
    <row r="25" ht="15" customHeight="1" s="221">
      <c r="A25" s="301" t="n"/>
      <c r="B25" s="301" t="n"/>
      <c r="C25" s="301" t="n"/>
      <c r="D25" s="360" t="n"/>
      <c r="E25" s="359" t="n"/>
      <c r="F25" s="360" t="n"/>
      <c r="G25" s="359" t="n"/>
      <c r="H25" s="301" t="n"/>
      <c r="I25" s="301" t="n"/>
      <c r="J25" s="301" t="n"/>
      <c r="K25" s="301" t="n"/>
      <c r="L25" s="301" t="n"/>
    </row>
    <row r="26" ht="15" customHeight="1" s="221">
      <c r="A26" s="223" t="inlineStr">
        <is>
          <t>═══ TOTAL INGRESOS FAMILIA ═══</t>
        </is>
      </c>
      <c r="D26" s="394">
        <f>D16+D19+D24</f>
        <v/>
      </c>
      <c r="E26" s="359" t="n"/>
      <c r="F26" s="360" t="n"/>
      <c r="G26" s="359" t="n"/>
      <c r="H26" s="301" t="n"/>
      <c r="I26" s="301" t="n"/>
      <c r="J26" s="301" t="n"/>
      <c r="K26" s="301" t="n"/>
      <c r="L26" s="301" t="n"/>
    </row>
    <row r="27" ht="15" customHeight="1" s="221">
      <c r="A27" s="301" t="n"/>
      <c r="B27" s="301" t="n"/>
      <c r="C27" s="301" t="n"/>
      <c r="D27" s="360" t="n"/>
      <c r="E27" s="359" t="n"/>
      <c r="F27" s="360" t="n"/>
      <c r="G27" s="359" t="n"/>
      <c r="H27" s="301" t="n"/>
      <c r="I27" s="301" t="n"/>
      <c r="J27" s="301" t="n"/>
      <c r="K27" s="301" t="n"/>
      <c r="L27" s="301" t="n"/>
    </row>
    <row r="28" ht="15.75" customHeight="1" s="221">
      <c r="A28" s="395" t="inlineStr">
        <is>
          <t>📉 GASTOS FAMILIARES</t>
        </is>
      </c>
      <c r="E28" s="328" t="n"/>
      <c r="F28" s="301" t="n"/>
      <c r="G28" s="396" t="inlineStr">
        <is>
          <t>📉 GASTOS NEUROTEA</t>
        </is>
      </c>
      <c r="K28" s="301" t="n"/>
      <c r="L28" s="301" t="n"/>
    </row>
    <row r="29" ht="15" customHeight="1" s="221">
      <c r="A29" s="397" t="inlineStr">
        <is>
          <t>Detalle</t>
        </is>
      </c>
      <c r="B29" s="397" t="inlineStr">
        <is>
          <t>Estado</t>
        </is>
      </c>
      <c r="C29" s="397" t="inlineStr">
        <is>
          <t>Monto</t>
        </is>
      </c>
      <c r="D29" s="397" t="inlineStr">
        <is>
          <t>Venc.</t>
        </is>
      </c>
      <c r="E29" s="301" t="n"/>
      <c r="F29" s="301" t="n"/>
      <c r="G29" s="398" t="inlineStr">
        <is>
          <t>Detalle</t>
        </is>
      </c>
      <c r="H29" s="398" t="inlineStr">
        <is>
          <t>Estado</t>
        </is>
      </c>
      <c r="I29" s="398" t="inlineStr">
        <is>
          <t>Monto</t>
        </is>
      </c>
      <c r="J29" s="398" t="inlineStr">
        <is>
          <t>Venc.</t>
        </is>
      </c>
      <c r="K29" s="301" t="n"/>
      <c r="L29" s="301" t="n"/>
    </row>
    <row r="30" ht="15.75" customHeight="1" s="221">
      <c r="A30" s="399" t="inlineStr">
        <is>
          <t>► GASTOS FIJOS ✏️</t>
        </is>
      </c>
      <c r="E30" s="301" t="n"/>
      <c r="F30" s="301" t="n"/>
      <c r="G30" s="400" t="inlineStr">
        <is>
          <t>► GASTOS FIJOS ✏️</t>
        </is>
      </c>
      <c r="K30" s="301" t="n"/>
      <c r="L30" s="301" t="n"/>
    </row>
    <row r="31" ht="15" customHeight="1" s="221">
      <c r="A31" s="401" t="inlineStr">
        <is>
          <t>Salario Lili Doméstico</t>
        </is>
      </c>
      <c r="B31" s="401" t="inlineStr">
        <is>
          <t>Ninguno</t>
        </is>
      </c>
      <c r="C31" s="402" t="n"/>
      <c r="D31" s="458" t="n"/>
      <c r="E31" s="301" t="n"/>
      <c r="F31" s="301" t="n"/>
      <c r="G31" s="403" t="inlineStr">
        <is>
          <t>Alquiler 1 (Principal)</t>
        </is>
      </c>
      <c r="H31" s="403" t="inlineStr">
        <is>
          <t>Ninguno</t>
        </is>
      </c>
      <c r="I31" s="404" t="n">
        <v>0</v>
      </c>
      <c r="J31" s="459" t="n"/>
      <c r="K31" s="301" t="n"/>
      <c r="L31" s="301" t="n"/>
    </row>
    <row r="32" ht="15" customHeight="1" s="221">
      <c r="A32" s="405" t="inlineStr">
        <is>
          <t>Salario Laura Doméstico</t>
        </is>
      </c>
      <c r="B32" s="405" t="inlineStr">
        <is>
          <t>Ninguno</t>
        </is>
      </c>
      <c r="C32" s="406" t="n"/>
      <c r="D32" s="460" t="n"/>
      <c r="E32" s="301" t="n"/>
      <c r="F32" s="301" t="n"/>
      <c r="G32" s="407" t="inlineStr">
        <is>
          <t>Alquiler 2 (Secundario)</t>
        </is>
      </c>
      <c r="H32" s="407" t="inlineStr">
        <is>
          <t>Ninguno</t>
        </is>
      </c>
      <c r="I32" s="408" t="n">
        <v>0</v>
      </c>
      <c r="J32" s="461" t="n"/>
      <c r="K32" s="301" t="n"/>
      <c r="L32" s="301" t="n"/>
    </row>
    <row r="33" ht="15" customHeight="1" s="221">
      <c r="A33" s="401" t="inlineStr">
        <is>
          <t>Escuela Fabián y Brenda</t>
        </is>
      </c>
      <c r="B33" s="401" t="inlineStr">
        <is>
          <t>Ninguno</t>
        </is>
      </c>
      <c r="C33" s="402" t="n"/>
      <c r="D33" s="458" t="n"/>
      <c r="E33" s="301" t="n"/>
      <c r="F33" s="301" t="n"/>
      <c r="G33" s="403" t="inlineStr">
        <is>
          <t>Limpieza NeuroTEA</t>
        </is>
      </c>
      <c r="H33" s="403" t="inlineStr">
        <is>
          <t>Ninguno</t>
        </is>
      </c>
      <c r="I33" s="404" t="n">
        <v>0</v>
      </c>
      <c r="J33" s="459" t="n"/>
      <c r="K33" s="301" t="n"/>
      <c r="L33" s="301" t="n"/>
    </row>
    <row r="34" ht="15" customHeight="1" s="221">
      <c r="A34" s="405" t="inlineStr">
        <is>
          <t>Robótica Niños</t>
        </is>
      </c>
      <c r="B34" s="405" t="inlineStr">
        <is>
          <t>Ninguno</t>
        </is>
      </c>
      <c r="C34" s="406" t="n"/>
      <c r="D34" s="460" t="n"/>
      <c r="E34" s="301" t="n"/>
      <c r="F34" s="301" t="n"/>
      <c r="G34" s="400" t="inlineStr">
        <is>
          <t>► SUELDOS Y HONORARIOS ✏️</t>
        </is>
      </c>
      <c r="K34" s="301" t="n"/>
      <c r="L34" s="301" t="n"/>
    </row>
    <row r="35" ht="15" customHeight="1" s="221">
      <c r="A35" s="410" t="inlineStr">
        <is>
          <t>ANDE Casa</t>
        </is>
      </c>
      <c r="B35" s="410" t="inlineStr">
        <is>
          <t>Ninguno</t>
        </is>
      </c>
      <c r="C35" s="411" t="n"/>
      <c r="D35" s="463" t="n"/>
      <c r="E35" s="301" t="n"/>
      <c r="F35" s="301" t="n"/>
      <c r="G35" s="403" t="inlineStr">
        <is>
          <t>Sueldo Aracely</t>
        </is>
      </c>
      <c r="H35" s="403" t="inlineStr">
        <is>
          <t>Ninguno</t>
        </is>
      </c>
      <c r="I35" s="404" t="n">
        <v>0</v>
      </c>
      <c r="J35" s="459" t="n"/>
      <c r="K35" s="301" t="n"/>
      <c r="L35" s="301" t="n"/>
    </row>
    <row r="36" ht="15" customHeight="1" s="221">
      <c r="A36" s="405" t="inlineStr">
        <is>
          <t>Expensa Casa</t>
        </is>
      </c>
      <c r="B36" s="405" t="inlineStr">
        <is>
          <t>Ninguno</t>
        </is>
      </c>
      <c r="C36" s="406" t="n"/>
      <c r="D36" s="460" t="n"/>
      <c r="E36" s="301" t="n"/>
      <c r="F36" s="301" t="n"/>
      <c r="G36" s="407" t="inlineStr">
        <is>
          <t>Sueldo Fátima</t>
        </is>
      </c>
      <c r="H36" s="407" t="inlineStr">
        <is>
          <t>Ninguno</t>
        </is>
      </c>
      <c r="I36" s="408" t="n">
        <v>0</v>
      </c>
      <c r="J36" s="461" t="n"/>
      <c r="K36" s="301" t="n"/>
      <c r="L36" s="301" t="n"/>
    </row>
    <row r="37" ht="15" customHeight="1" s="221">
      <c r="A37" s="410" t="inlineStr">
        <is>
          <t>Cajubi Marco</t>
        </is>
      </c>
      <c r="B37" s="410" t="inlineStr">
        <is>
          <t>Ninguno</t>
        </is>
      </c>
      <c r="C37" s="411" t="n"/>
      <c r="D37" s="463" t="n"/>
      <c r="E37" s="301" t="n"/>
      <c r="F37" s="301" t="n"/>
      <c r="G37" s="403" t="inlineStr">
        <is>
          <t>Honorario Contador</t>
        </is>
      </c>
      <c r="H37" s="403" t="inlineStr">
        <is>
          <t>Ninguno</t>
        </is>
      </c>
      <c r="I37" s="404" t="n">
        <v>0</v>
      </c>
      <c r="J37" s="459" t="n"/>
      <c r="K37" s="301" t="n"/>
      <c r="L37" s="301" t="n"/>
    </row>
    <row r="38" ht="15" customHeight="1" s="221">
      <c r="A38" s="405" t="inlineStr">
        <is>
          <t>Mutual Marco</t>
        </is>
      </c>
      <c r="B38" s="405" t="inlineStr">
        <is>
          <t>Ninguno</t>
        </is>
      </c>
      <c r="C38" s="406" t="n"/>
      <c r="D38" s="460" t="n"/>
      <c r="E38" s="301" t="n"/>
      <c r="F38" s="301" t="n"/>
      <c r="G38" s="407" t="inlineStr">
        <is>
          <t>Salario Administrador</t>
        </is>
      </c>
      <c r="H38" s="407" t="inlineStr">
        <is>
          <t>Ninguno</t>
        </is>
      </c>
      <c r="I38" s="408" t="n">
        <v>0</v>
      </c>
      <c r="J38" s="461" t="n"/>
      <c r="K38" s="301" t="n"/>
      <c r="L38" s="301" t="n"/>
    </row>
    <row r="39" ht="15" customHeight="1" s="221">
      <c r="A39" s="410" t="inlineStr">
        <is>
          <t>Ña Luisa</t>
        </is>
      </c>
      <c r="B39" s="410" t="inlineStr">
        <is>
          <t>Ninguno</t>
        </is>
      </c>
      <c r="C39" s="411" t="n"/>
      <c r="D39" s="463" t="n"/>
      <c r="E39" s="301" t="n"/>
      <c r="F39" s="301" t="n"/>
      <c r="G39" s="403" t="inlineStr">
        <is>
          <t>Honorario Mant. Sistema</t>
        </is>
      </c>
      <c r="H39" s="403" t="inlineStr">
        <is>
          <t>Ninguno</t>
        </is>
      </c>
      <c r="I39" s="404" t="n">
        <v>0</v>
      </c>
      <c r="J39" s="459" t="n"/>
      <c r="K39" s="301" t="n"/>
      <c r="L39" s="301" t="n"/>
    </row>
    <row r="40" ht="15" customHeight="1" s="221">
      <c r="A40" s="405" t="inlineStr">
        <is>
          <t>Seguro Médico Papá y Mamá</t>
        </is>
      </c>
      <c r="B40" s="405" t="inlineStr">
        <is>
          <t>Ninguno</t>
        </is>
      </c>
      <c r="C40" s="406" t="n"/>
      <c r="D40" s="460" t="n"/>
      <c r="E40" s="301" t="n"/>
      <c r="F40" s="301" t="n"/>
      <c r="G40" s="400" t="inlineStr">
        <is>
          <t>► TELEFONÍA E INTERNET ✏️</t>
        </is>
      </c>
      <c r="K40" s="301" t="n"/>
      <c r="L40" s="301" t="n"/>
    </row>
    <row r="41" ht="15" customHeight="1" s="221">
      <c r="A41" s="413" t="inlineStr">
        <is>
          <t>► CUOTAS Y PRÉSTAMOS ✏️</t>
        </is>
      </c>
      <c r="B41" s="256" t="n"/>
      <c r="C41" s="256" t="n"/>
      <c r="D41" s="353" t="n"/>
      <c r="E41" s="301" t="n"/>
      <c r="F41" s="301" t="n"/>
      <c r="G41" s="403" t="inlineStr">
        <is>
          <t>Celular Tigo NeuroTEA</t>
        </is>
      </c>
      <c r="H41" s="403" t="inlineStr">
        <is>
          <t>Ninguno</t>
        </is>
      </c>
      <c r="I41" s="404" t="n">
        <v>0</v>
      </c>
      <c r="J41" s="459" t="n"/>
      <c r="K41" s="301" t="n"/>
      <c r="L41" s="301" t="n"/>
    </row>
    <row r="42" ht="15" customHeight="1" s="221">
      <c r="A42" s="410" t="inlineStr">
        <is>
          <t>Auto Laura Cuota</t>
        </is>
      </c>
      <c r="B42" s="410" t="inlineStr">
        <is>
          <t>Ninguno</t>
        </is>
      </c>
      <c r="C42" s="411" t="n"/>
      <c r="D42" s="463" t="n"/>
      <c r="E42" s="301" t="n"/>
      <c r="F42" s="301" t="n"/>
      <c r="G42" s="407" t="inlineStr">
        <is>
          <t>Celular Tigo Sistema</t>
        </is>
      </c>
      <c r="H42" s="407" t="inlineStr">
        <is>
          <t>Ninguno</t>
        </is>
      </c>
      <c r="I42" s="408" t="n">
        <v>0</v>
      </c>
      <c r="J42" s="461" t="n"/>
      <c r="K42" s="301" t="n"/>
      <c r="L42" s="301" t="n"/>
    </row>
    <row r="43" ht="15" customHeight="1" s="221">
      <c r="A43" s="405" t="inlineStr">
        <is>
          <t>Coop. Universitaria Clara</t>
        </is>
      </c>
      <c r="B43" s="405" t="inlineStr">
        <is>
          <t>Ninguno</t>
        </is>
      </c>
      <c r="C43" s="406" t="n"/>
      <c r="D43" s="460" t="n"/>
      <c r="E43" s="301" t="n"/>
      <c r="F43" s="301" t="n"/>
      <c r="G43" s="403" t="inlineStr">
        <is>
          <t>WhatsFlow</t>
        </is>
      </c>
      <c r="H43" s="403" t="inlineStr">
        <is>
          <t>Ninguno</t>
        </is>
      </c>
      <c r="I43" s="404" t="n">
        <v>0</v>
      </c>
      <c r="J43" s="459" t="n"/>
      <c r="K43" s="301" t="n"/>
      <c r="L43" s="301" t="n"/>
    </row>
    <row r="44" ht="15" customHeight="1" s="221">
      <c r="A44" s="410" t="inlineStr">
        <is>
          <t>Coomecipar Clara</t>
        </is>
      </c>
      <c r="B44" s="410" t="inlineStr">
        <is>
          <t>Ninguno</t>
        </is>
      </c>
      <c r="C44" s="411" t="n"/>
      <c r="D44" s="463" t="n"/>
      <c r="E44" s="301" t="n"/>
      <c r="F44" s="301" t="n"/>
      <c r="G44" s="407" t="inlineStr">
        <is>
          <t>Internet NeuroTEA</t>
        </is>
      </c>
      <c r="H44" s="407" t="inlineStr">
        <is>
          <t>Ninguno</t>
        </is>
      </c>
      <c r="I44" s="408" t="n">
        <v>0</v>
      </c>
      <c r="J44" s="461" t="n"/>
      <c r="K44" s="301" t="n"/>
      <c r="L44" s="301" t="n"/>
    </row>
    <row r="45" ht="15" customHeight="1" s="221">
      <c r="A45" s="414" t="inlineStr">
        <is>
          <t>Tarjeta Cred. Coomecipar</t>
        </is>
      </c>
      <c r="B45" s="414" t="inlineStr">
        <is>
          <t>Ninguno</t>
        </is>
      </c>
      <c r="C45" s="415" t="n"/>
      <c r="D45" s="465" t="n"/>
      <c r="E45" s="301" t="n"/>
      <c r="F45" s="301" t="n"/>
      <c r="G45" s="400" t="inlineStr">
        <is>
          <t>► IMPUESTOS ✏️</t>
        </is>
      </c>
      <c r="K45" s="301" t="n"/>
      <c r="L45" s="301" t="n"/>
    </row>
    <row r="46" ht="15" customHeight="1" s="221">
      <c r="A46" s="401" t="inlineStr">
        <is>
          <t>Solar Préstamo 1</t>
        </is>
      </c>
      <c r="B46" s="401" t="inlineStr">
        <is>
          <t>Ninguno</t>
        </is>
      </c>
      <c r="C46" s="402" t="n"/>
      <c r="D46" s="458" t="n"/>
      <c r="E46" s="301" t="n"/>
      <c r="F46" s="301" t="n"/>
      <c r="G46" s="403" t="inlineStr">
        <is>
          <t>IVA</t>
        </is>
      </c>
      <c r="H46" s="403" t="inlineStr">
        <is>
          <t>Ninguno</t>
        </is>
      </c>
      <c r="I46" s="404" t="n">
        <v>0</v>
      </c>
      <c r="J46" s="459" t="n"/>
      <c r="K46" s="301" t="n"/>
      <c r="L46" s="301" t="n"/>
    </row>
    <row r="47" ht="15" customHeight="1" s="221">
      <c r="A47" s="405" t="inlineStr">
        <is>
          <t>Solar Préstamo 2</t>
        </is>
      </c>
      <c r="B47" s="405" t="inlineStr">
        <is>
          <t>Ninguno</t>
        </is>
      </c>
      <c r="C47" s="406" t="n"/>
      <c r="D47" s="460" t="n"/>
      <c r="E47" s="301" t="n"/>
      <c r="F47" s="301" t="n"/>
      <c r="G47" s="400" t="inlineStr">
        <is>
          <t>► EVENTOS NT ✏️</t>
        </is>
      </c>
      <c r="K47" s="301" t="n"/>
      <c r="L47" s="301" t="n"/>
    </row>
    <row r="48" ht="15" customHeight="1" s="221">
      <c r="A48" s="410" t="inlineStr">
        <is>
          <t>Préstamo Lizzi Sueldos</t>
        </is>
      </c>
      <c r="B48" s="410" t="inlineStr">
        <is>
          <t>Ninguno</t>
        </is>
      </c>
      <c r="C48" s="411" t="n"/>
      <c r="D48" s="463" t="n"/>
      <c r="E48" s="301" t="n"/>
      <c r="F48" s="301" t="n"/>
      <c r="G48" s="403" t="inlineStr">
        <is>
          <t>Día del Niño NT</t>
        </is>
      </c>
      <c r="H48" s="403" t="inlineStr">
        <is>
          <t>Ninguno</t>
        </is>
      </c>
      <c r="I48" s="404" t="n">
        <v>0</v>
      </c>
      <c r="J48" s="459" t="n"/>
      <c r="K48" s="301" t="n"/>
      <c r="L48" s="301" t="n"/>
    </row>
    <row r="49" ht="15" customHeight="1" s="221">
      <c r="A49" s="405" t="inlineStr">
        <is>
          <t>Show Congelador</t>
        </is>
      </c>
      <c r="B49" s="405" t="inlineStr">
        <is>
          <t>Ninguno</t>
        </is>
      </c>
      <c r="C49" s="406" t="n"/>
      <c r="D49" s="460" t="n"/>
      <c r="E49" s="301" t="n"/>
      <c r="F49" s="301" t="n"/>
      <c r="G49" s="407" t="inlineStr">
        <is>
          <t>San Juan NT</t>
        </is>
      </c>
      <c r="H49" s="407" t="inlineStr">
        <is>
          <t>Ninguno</t>
        </is>
      </c>
      <c r="I49" s="408" t="n">
        <v>0</v>
      </c>
      <c r="J49" s="461" t="n"/>
      <c r="K49" s="301" t="n"/>
      <c r="L49" s="301" t="n"/>
    </row>
    <row r="50" ht="15" customHeight="1" s="221">
      <c r="A50" s="410" t="inlineStr">
        <is>
          <t>Olier Heladera</t>
        </is>
      </c>
      <c r="B50" s="410" t="inlineStr">
        <is>
          <t>Ninguno</t>
        </is>
      </c>
      <c r="C50" s="411" t="n"/>
      <c r="D50" s="463" t="n"/>
      <c r="E50" s="301" t="n"/>
      <c r="F50" s="301" t="n"/>
      <c r="G50" s="403" t="inlineStr">
        <is>
          <t>Día del Autismo NT</t>
        </is>
      </c>
      <c r="H50" s="403" t="inlineStr">
        <is>
          <t>Ninguno</t>
        </is>
      </c>
      <c r="I50" s="404" t="n">
        <v>0</v>
      </c>
      <c r="J50" s="459" t="n"/>
      <c r="K50" s="301" t="n"/>
      <c r="L50" s="301" t="n"/>
    </row>
    <row r="51" ht="15" customHeight="1" s="221">
      <c r="A51" s="413" t="inlineStr">
        <is>
          <t>► SUSCRIPCIONES E INTERNET ✏️</t>
        </is>
      </c>
      <c r="B51" s="256" t="n"/>
      <c r="C51" s="256" t="n"/>
      <c r="D51" s="353" t="n"/>
      <c r="E51" s="301" t="n"/>
      <c r="F51" s="301" t="n"/>
      <c r="G51" s="407" t="inlineStr">
        <is>
          <t>Clausura Padres NT</t>
        </is>
      </c>
      <c r="H51" s="407" t="inlineStr">
        <is>
          <t>Ninguno</t>
        </is>
      </c>
      <c r="I51" s="408" t="n">
        <v>0</v>
      </c>
      <c r="J51" s="461" t="n"/>
      <c r="K51" s="301" t="n"/>
      <c r="L51" s="301" t="n"/>
    </row>
    <row r="52" ht="15" customHeight="1" s="221">
      <c r="A52" s="410" t="inlineStr">
        <is>
          <t>Giganet</t>
        </is>
      </c>
      <c r="B52" s="410" t="inlineStr">
        <is>
          <t>Ninguno</t>
        </is>
      </c>
      <c r="C52" s="411" t="n"/>
      <c r="D52" s="463" t="n"/>
      <c r="E52" s="301" t="n"/>
      <c r="F52" s="301" t="n"/>
      <c r="G52" s="403" t="inlineStr">
        <is>
          <t>Navidad Papá Noel NT</t>
        </is>
      </c>
      <c r="H52" s="403" t="inlineStr">
        <is>
          <t>Ninguno</t>
        </is>
      </c>
      <c r="I52" s="404" t="n">
        <v>0</v>
      </c>
      <c r="J52" s="459" t="n"/>
      <c r="K52" s="301" t="n"/>
      <c r="L52" s="301" t="n"/>
    </row>
    <row r="53" ht="15" customHeight="1" s="221">
      <c r="A53" s="405" t="inlineStr">
        <is>
          <t>Tigo Internet/Celulares</t>
        </is>
      </c>
      <c r="B53" s="405" t="inlineStr">
        <is>
          <t>Ninguno</t>
        </is>
      </c>
      <c r="C53" s="406" t="n"/>
      <c r="D53" s="460" t="n"/>
      <c r="E53" s="301" t="n"/>
      <c r="F53" s="301" t="n"/>
      <c r="G53" s="407" t="inlineStr">
        <is>
          <t>Cena Fin de Año NT</t>
        </is>
      </c>
      <c r="H53" s="407" t="inlineStr">
        <is>
          <t>Ninguno</t>
        </is>
      </c>
      <c r="I53" s="408" t="n">
        <v>0</v>
      </c>
      <c r="J53" s="461" t="n"/>
      <c r="K53" s="301" t="n"/>
      <c r="L53" s="301" t="n"/>
    </row>
    <row r="54" ht="15" customHeight="1" s="221">
      <c r="A54" s="410" t="inlineStr">
        <is>
          <t>Tigo Familiar</t>
        </is>
      </c>
      <c r="B54" s="410" t="inlineStr">
        <is>
          <t>Ninguno</t>
        </is>
      </c>
      <c r="C54" s="411" t="n"/>
      <c r="D54" s="463" t="n"/>
      <c r="E54" s="301" t="n"/>
      <c r="F54" s="301" t="n"/>
      <c r="G54" s="400" t="inlineStr">
        <is>
          <t>► GASTOS VARIABLES NT 🔗</t>
        </is>
      </c>
      <c r="K54" s="301" t="n"/>
      <c r="L54" s="301" t="n"/>
    </row>
    <row r="55" ht="15" customHeight="1" s="221">
      <c r="A55" s="405" t="inlineStr">
        <is>
          <t>Google One</t>
        </is>
      </c>
      <c r="B55" s="405" t="inlineStr">
        <is>
          <t>Ninguno</t>
        </is>
      </c>
      <c r="C55" s="406" t="n"/>
      <c r="D55" s="460" t="n"/>
      <c r="E55" s="301" t="n"/>
      <c r="F55" s="301" t="n"/>
      <c r="G55" s="403" t="inlineStr">
        <is>
          <t>Insumos NT</t>
        </is>
      </c>
      <c r="H55" s="403" t="inlineStr">
        <is>
          <t>Ninguno</t>
        </is>
      </c>
      <c r="I55" s="404">
        <f>SUMIFS('Ing-Egr Enero 2026'!F4:F103,'Ing-Egr Enero 2026'!B4:B103,"Egreso NT",'Ing-Egr Enero 2026'!C4:C103,G55)</f>
        <v/>
      </c>
      <c r="J55" s="459" t="n"/>
      <c r="K55" s="301" t="n"/>
      <c r="L55" s="301" t="n"/>
    </row>
    <row r="56" ht="15" customHeight="1" s="221">
      <c r="A56" s="410" t="inlineStr">
        <is>
          <t>ChatGPT</t>
        </is>
      </c>
      <c r="B56" s="410" t="inlineStr">
        <is>
          <t>Ninguno</t>
        </is>
      </c>
      <c r="C56" s="411" t="n"/>
      <c r="D56" s="463" t="n"/>
      <c r="E56" s="301" t="n"/>
      <c r="F56" s="301" t="n"/>
      <c r="G56" s="407" t="inlineStr">
        <is>
          <t>Papelería NT</t>
        </is>
      </c>
      <c r="H56" s="407" t="inlineStr">
        <is>
          <t>Ninguno</t>
        </is>
      </c>
      <c r="I56" s="408">
        <f>SUMIFS('Ing-Egr Enero 2026'!F4:F103,'Ing-Egr Enero 2026'!B4:B103,"Egreso NT",'Ing-Egr Enero 2026'!C4:C103,G56)</f>
        <v/>
      </c>
      <c r="J56" s="461" t="n"/>
      <c r="K56" s="301" t="n"/>
      <c r="L56" s="301" t="n"/>
    </row>
    <row r="57" ht="15" customHeight="1" s="221">
      <c r="A57" s="414" t="inlineStr">
        <is>
          <t>Claude Marco</t>
        </is>
      </c>
      <c r="B57" s="414" t="inlineStr">
        <is>
          <t>Ninguno</t>
        </is>
      </c>
      <c r="C57" s="415" t="n"/>
      <c r="D57" s="465" t="n"/>
      <c r="E57" s="301" t="n"/>
      <c r="F57" s="301" t="n"/>
      <c r="G57" s="403" t="inlineStr">
        <is>
          <t>Mantenimiento NT</t>
        </is>
      </c>
      <c r="H57" s="403" t="inlineStr">
        <is>
          <t>Ninguno</t>
        </is>
      </c>
      <c r="I57" s="404">
        <f>SUMIFS('Ing-Egr Enero 2026'!F4:F103,'Ing-Egr Enero 2026'!B4:B103,"Egreso NT",'Ing-Egr Enero 2026'!C4:C103,G57)</f>
        <v/>
      </c>
      <c r="J57" s="459" t="n"/>
      <c r="K57" s="301" t="n"/>
      <c r="L57" s="301" t="n"/>
    </row>
    <row r="58" ht="15" customHeight="1" s="221">
      <c r="A58" s="401" t="inlineStr">
        <is>
          <t>Claude Clara</t>
        </is>
      </c>
      <c r="B58" s="401" t="inlineStr">
        <is>
          <t>Ninguno</t>
        </is>
      </c>
      <c r="C58" s="402" t="n"/>
      <c r="D58" s="458" t="n"/>
      <c r="E58" s="301" t="n"/>
      <c r="F58" s="301" t="n"/>
      <c r="G58" s="407" t="inlineStr">
        <is>
          <t>Gastos Cursos NT</t>
        </is>
      </c>
      <c r="H58" s="407" t="inlineStr">
        <is>
          <t>Ninguno</t>
        </is>
      </c>
      <c r="I58" s="416">
        <f>SUMIFS('Ing-Egr Enero 2026'!F4:F103,'Ing-Egr Enero 2026'!B4:B103,"Egreso NT",'Ing-Egr Enero 2026'!C4:C103,G58)</f>
        <v/>
      </c>
      <c r="J58" s="461" t="n"/>
      <c r="K58" s="301" t="n"/>
      <c r="L58" s="301" t="n"/>
    </row>
    <row r="59" ht="15" customHeight="1" s="221">
      <c r="A59" s="405" t="inlineStr">
        <is>
          <t>iLovePDF</t>
        </is>
      </c>
      <c r="B59" s="405" t="inlineStr">
        <is>
          <t>Ninguno</t>
        </is>
      </c>
      <c r="C59" s="406" t="n"/>
      <c r="D59" s="460" t="n"/>
      <c r="E59" s="301" t="n"/>
      <c r="F59" s="301" t="n"/>
      <c r="G59" s="403" t="inlineStr">
        <is>
          <t>Gastos Varios NT</t>
        </is>
      </c>
      <c r="H59" s="403" t="inlineStr">
        <is>
          <t>Ninguno</t>
        </is>
      </c>
      <c r="I59" s="417">
        <f>SUMIFS('Ing-Egr Enero 2026'!F4:F103,'Ing-Egr Enero 2026'!B4:B103,"Egreso NT",'Ing-Egr Enero 2026'!C4:C103,G59)</f>
        <v/>
      </c>
      <c r="J59" s="459" t="n"/>
      <c r="K59" s="301" t="n"/>
      <c r="L59" s="301" t="n"/>
    </row>
    <row r="60" ht="15" customHeight="1" s="221">
      <c r="A60" s="410" t="inlineStr">
        <is>
          <t>Scribd</t>
        </is>
      </c>
      <c r="B60" s="410" t="inlineStr">
        <is>
          <t>Ninguno</t>
        </is>
      </c>
      <c r="C60" s="411" t="n"/>
      <c r="D60" s="463" t="n"/>
      <c r="E60" s="301" t="n"/>
      <c r="F60" s="301" t="n"/>
      <c r="G60" s="407" t="inlineStr">
        <is>
          <t>Reserva NT 1</t>
        </is>
      </c>
      <c r="H60" s="407" t="inlineStr">
        <is>
          <t>Ninguno</t>
        </is>
      </c>
      <c r="I60" s="408">
        <f>SUMIFS('Ing-Egr Enero 2026'!F4:F103,'Ing-Egr Enero 2026'!B4:B103,"Egreso NT",'Ing-Egr Enero 2026'!C4:C103,G60)</f>
        <v/>
      </c>
      <c r="J60" s="461" t="n"/>
      <c r="K60" s="301" t="n"/>
      <c r="L60" s="301" t="n"/>
    </row>
    <row r="61" ht="15" customHeight="1" s="221">
      <c r="A61" s="405" t="inlineStr">
        <is>
          <t>Netflix</t>
        </is>
      </c>
      <c r="B61" s="405" t="inlineStr">
        <is>
          <t>Ninguno</t>
        </is>
      </c>
      <c r="C61" s="406" t="n"/>
      <c r="D61" s="460" t="n"/>
      <c r="E61" s="301" t="n"/>
      <c r="F61" s="301" t="n"/>
      <c r="G61" s="403" t="inlineStr">
        <is>
          <t>Reserva NT 2</t>
        </is>
      </c>
      <c r="H61" s="403" t="inlineStr">
        <is>
          <t>Ninguno</t>
        </is>
      </c>
      <c r="I61" s="404">
        <f>SUMIFS('Ing-Egr Enero 2026'!F4:F103,'Ing-Egr Enero 2026'!B4:B103,"Egreso NT",'Ing-Egr Enero 2026'!C4:C103,G61)</f>
        <v/>
      </c>
      <c r="J61" s="459" t="n"/>
      <c r="K61" s="301" t="n"/>
      <c r="L61" s="301" t="n"/>
    </row>
    <row r="62" ht="15" customHeight="1" s="221">
      <c r="A62" s="413" t="inlineStr">
        <is>
          <t>► GASTOS VARIABLES 🔗</t>
        </is>
      </c>
      <c r="B62" s="256" t="n"/>
      <c r="C62" s="256" t="n"/>
      <c r="D62" s="353" t="n"/>
      <c r="E62" s="301" t="n"/>
      <c r="F62" s="301" t="n"/>
      <c r="G62" s="407" t="inlineStr">
        <is>
          <t>Reserva NT 3</t>
        </is>
      </c>
      <c r="H62" s="407" t="inlineStr">
        <is>
          <t>Ninguno</t>
        </is>
      </c>
      <c r="I62" s="408">
        <f>SUMIFS('Ing-Egr Enero 2026'!F4:F103,'Ing-Egr Enero 2026'!B4:B103,"Egreso NT",'Ing-Egr Enero 2026'!C4:C103,G62)</f>
        <v/>
      </c>
      <c r="J62" s="461" t="n"/>
      <c r="K62" s="301" t="n"/>
      <c r="L62" s="301" t="n"/>
    </row>
    <row r="63" ht="15" customHeight="1" s="221">
      <c r="A63" s="410" t="inlineStr">
        <is>
          <t>Combustible</t>
        </is>
      </c>
      <c r="B63" s="410" t="inlineStr">
        <is>
          <t>Ninguno</t>
        </is>
      </c>
      <c r="C63" s="411">
        <f>SUMIFS('Ing-Egr Enero 2026'!F4:F103,'Ing-Egr Enero 2026'!B4:B103,"Egreso Familiar",'Ing-Egr Enero 2026'!C4:C103,A63)</f>
        <v/>
      </c>
      <c r="D63" s="463" t="n"/>
      <c r="E63" s="301" t="n"/>
      <c r="F63" s="301" t="n"/>
      <c r="G63" s="301" t="n"/>
      <c r="H63" s="301" t="n"/>
      <c r="I63" s="301" t="n"/>
      <c r="J63" s="466" t="n"/>
      <c r="K63" s="301" t="n"/>
      <c r="L63" s="301" t="n"/>
    </row>
    <row r="64" ht="15" customHeight="1" s="221">
      <c r="A64" s="405" t="inlineStr">
        <is>
          <t>Supermercado</t>
        </is>
      </c>
      <c r="B64" s="405" t="inlineStr">
        <is>
          <t>Ninguno</t>
        </is>
      </c>
      <c r="C64" s="406">
        <f>SUMIFS('Ing-Egr Enero 2026'!F4:F103,'Ing-Egr Enero 2026'!B4:B103,"Egreso Familiar",'Ing-Egr Enero 2026'!C4:C103,A64)</f>
        <v/>
      </c>
      <c r="D64" s="460" t="n"/>
      <c r="E64" s="301" t="n"/>
      <c r="F64" s="301" t="n"/>
      <c r="G64" s="418" t="inlineStr">
        <is>
          <t>TOTAL NT PAGADOS</t>
        </is>
      </c>
      <c r="I64" s="419">
        <f>SUMIF(H30:H62,"Pagado",I30:I62)</f>
        <v/>
      </c>
      <c r="J64" s="467" t="n"/>
      <c r="K64" s="301" t="n"/>
      <c r="L64" s="301" t="n"/>
    </row>
    <row r="65" ht="15" customHeight="1" s="221">
      <c r="A65" s="410" t="inlineStr">
        <is>
          <t>Farmacia</t>
        </is>
      </c>
      <c r="B65" s="410" t="inlineStr">
        <is>
          <t>Ninguno</t>
        </is>
      </c>
      <c r="C65" s="411">
        <f>SUMIFS('Ing-Egr Enero 2026'!F4:F103,'Ing-Egr Enero 2026'!B4:B103,"Egreso Familiar",'Ing-Egr Enero 2026'!C4:C103,A65)</f>
        <v/>
      </c>
      <c r="D65" s="468">
        <f>C72</f>
        <v/>
      </c>
      <c r="E65" s="301" t="n"/>
      <c r="F65" s="301" t="n"/>
      <c r="G65" s="422" t="inlineStr">
        <is>
          <t>TOTAL NT PENDIENTES</t>
        </is>
      </c>
      <c r="I65" s="423">
        <f>SUMIF(H30:H62,"Pendiente",I30:I62)</f>
        <v/>
      </c>
      <c r="J65" s="469" t="n"/>
      <c r="K65" s="301" t="n"/>
      <c r="L65" s="301" t="n"/>
    </row>
    <row r="66" ht="15" customHeight="1" s="221">
      <c r="A66" s="405" t="inlineStr">
        <is>
          <t>Recreación</t>
        </is>
      </c>
      <c r="B66" s="405" t="inlineStr">
        <is>
          <t>Ninguno</t>
        </is>
      </c>
      <c r="C66" s="406">
        <f>SUMIFS('Ing-Egr Enero 2026'!F4:F103,'Ing-Egr Enero 2026'!B4:B103,"Egreso Familiar",'Ing-Egr Enero 2026'!C4:C103,A66)</f>
        <v/>
      </c>
      <c r="D66" s="470">
        <f>C73</f>
        <v/>
      </c>
      <c r="E66" s="301" t="n"/>
      <c r="F66" s="301" t="n"/>
      <c r="G66" s="301" t="n"/>
      <c r="H66" s="301" t="n"/>
      <c r="I66" s="301" t="n"/>
      <c r="J66" s="466" t="n"/>
      <c r="K66" s="301" t="n"/>
      <c r="L66" s="301" t="n"/>
    </row>
    <row r="67" ht="15" customHeight="1" s="221">
      <c r="A67" s="410" t="inlineStr">
        <is>
          <t>Gastos Varios</t>
        </is>
      </c>
      <c r="B67" s="410" t="inlineStr">
        <is>
          <t>Ninguno</t>
        </is>
      </c>
      <c r="C67" s="411">
        <f>SUMIFS('Ing-Egr Enero 2026'!F4:F103,'Ing-Egr Enero 2026'!B4:B103,"Egreso Familiar",'Ing-Egr Enero 2026'!C4:C103,A67)</f>
        <v/>
      </c>
      <c r="D67" s="463" t="n"/>
      <c r="E67" s="301" t="n"/>
      <c r="F67" s="301" t="n"/>
      <c r="G67" s="386" t="inlineStr">
        <is>
          <t>📊 SALUD FINANCIERA NEUROTEA</t>
        </is>
      </c>
      <c r="L67" s="301" t="n"/>
    </row>
    <row r="68" ht="15" customHeight="1" s="221">
      <c r="A68" s="405" t="inlineStr">
        <is>
          <t>Reserva Fam 1</t>
        </is>
      </c>
      <c r="B68" s="405" t="inlineStr">
        <is>
          <t>Ninguno</t>
        </is>
      </c>
      <c r="C68" s="406">
        <f>SUMIFS('Ing-Egr Enero 2026'!F4:F103,'Ing-Egr Enero 2026'!B4:B103,"Egreso Familiar",'Ing-Egr Enero 2026'!C4:C103,A68)</f>
        <v/>
      </c>
      <c r="D68" s="460" t="n"/>
      <c r="E68" s="301" t="n"/>
      <c r="F68" s="301" t="n"/>
      <c r="G68" s="398" t="inlineStr">
        <is>
          <t>Concepto</t>
        </is>
      </c>
      <c r="H68" s="398" t="inlineStr">
        <is>
          <t>% Ideal</t>
        </is>
      </c>
      <c r="I68" s="426" t="inlineStr">
        <is>
          <t>Monto Ideal</t>
        </is>
      </c>
      <c r="J68" s="471" t="inlineStr">
        <is>
          <t>Monto Real</t>
        </is>
      </c>
      <c r="K68" s="398" t="inlineStr">
        <is>
          <t>Estado</t>
        </is>
      </c>
      <c r="L68" s="301" t="n"/>
    </row>
    <row r="69" ht="15" customHeight="1" s="221">
      <c r="A69" s="410" t="inlineStr">
        <is>
          <t>Reserva Fam 2</t>
        </is>
      </c>
      <c r="B69" s="410" t="inlineStr">
        <is>
          <t>Ninguno</t>
        </is>
      </c>
      <c r="C69" s="411">
        <f>SUMIFS('Ing-Egr Enero 2026'!F4:F103,'Ing-Egr Enero 2026'!B4:B103,"Egreso Familiar",'Ing-Egr Enero 2026'!C4:C103,A69)</f>
        <v/>
      </c>
      <c r="D69" s="463" t="n"/>
      <c r="E69" s="301" t="n"/>
      <c r="F69" s="301" t="n"/>
      <c r="G69" s="301" t="inlineStr">
        <is>
          <t>Gastos Operativos (máx 75%)</t>
        </is>
      </c>
      <c r="H69" s="427" t="n">
        <v>0.75</v>
      </c>
      <c r="I69" s="328">
        <f>J12*0.75</f>
        <v/>
      </c>
      <c r="J69" s="466">
        <f>I64+I65</f>
        <v/>
      </c>
      <c r="K69" s="428">
        <f>IF(J12=0,"-",IF(J69/J12&lt;=0.75,"🟢 OK",IF(J69/J12&lt;=0.9,"🟡 PRECAUCIÓN","🔴 ALARMA")))</f>
        <v/>
      </c>
      <c r="L69" s="301" t="n"/>
    </row>
    <row r="70" ht="15" customHeight="1" s="221">
      <c r="A70" s="414" t="inlineStr">
        <is>
          <t>Reserva Fam 3</t>
        </is>
      </c>
      <c r="B70" s="414" t="inlineStr">
        <is>
          <t>Ninguno</t>
        </is>
      </c>
      <c r="C70" s="415">
        <f>SUMIFS('Ing-Egr Enero 2026'!F4:F103,'Ing-Egr Enero 2026'!B4:B103,"Egreso Familiar",'Ing-Egr Enero 2026'!C4:C103,A70)</f>
        <v/>
      </c>
      <c r="D70" s="465" t="n"/>
      <c r="E70" s="301" t="n"/>
      <c r="F70" s="301" t="n"/>
      <c r="G70" s="301" t="inlineStr">
        <is>
          <t>Ganancia (10%)</t>
        </is>
      </c>
      <c r="H70" s="427" t="n">
        <v>0.1</v>
      </c>
      <c r="I70" s="328">
        <f>J12*0.1</f>
        <v/>
      </c>
      <c r="J70" s="466">
        <f>D22</f>
        <v/>
      </c>
      <c r="K70" s="429">
        <f>IF(J70&gt;=I70,"🟢","🔴")</f>
        <v/>
      </c>
      <c r="L70" s="301" t="n"/>
    </row>
    <row r="71" ht="15" customHeight="1" s="221">
      <c r="A71" s="301" t="n"/>
      <c r="B71" s="301" t="n"/>
      <c r="C71" s="301" t="n"/>
      <c r="D71" s="301" t="n"/>
      <c r="E71" s="301" t="n"/>
      <c r="F71" s="301" t="n"/>
      <c r="G71" s="301" t="inlineStr">
        <is>
          <t>Inversiones (5%)</t>
        </is>
      </c>
      <c r="H71" s="427" t="n">
        <v>0.05</v>
      </c>
      <c r="I71" s="328">
        <f>J12*0.05</f>
        <v/>
      </c>
      <c r="J71" s="328" t="n">
        <v>0</v>
      </c>
      <c r="K71" s="429">
        <f>IF(J71&gt;=I71,"🟢","🔴")</f>
        <v/>
      </c>
      <c r="L71" s="301" t="n"/>
    </row>
    <row r="72" ht="15" customHeight="1" s="221">
      <c r="A72" s="430" t="inlineStr">
        <is>
          <t>TOTAL FAM. PAGADOS</t>
        </is>
      </c>
      <c r="B72" s="353" t="n"/>
      <c r="C72" s="431">
        <f>SUMIF(B30:B70,"Pagado",C30:C70)</f>
        <v/>
      </c>
      <c r="D72" s="432" t="n"/>
      <c r="E72" s="301" t="n"/>
      <c r="F72" s="301" t="n"/>
      <c r="G72" s="301" t="inlineStr">
        <is>
          <t>Imprevistos (5%)</t>
        </is>
      </c>
      <c r="H72" s="427" t="n">
        <v>0.05</v>
      </c>
      <c r="I72" s="328">
        <f>J12*0.05</f>
        <v/>
      </c>
      <c r="J72" s="328" t="n">
        <v>0</v>
      </c>
      <c r="K72" s="429">
        <f>IF(J72&gt;=I72,"🟢","🔴")</f>
        <v/>
      </c>
      <c r="L72" s="301" t="n"/>
    </row>
    <row r="73" ht="15" customHeight="1" s="221">
      <c r="A73" s="433" t="inlineStr">
        <is>
          <t>TOTAL FAM. PENDIENTES</t>
        </is>
      </c>
      <c r="B73" s="353" t="n"/>
      <c r="C73" s="434">
        <f>SUMIF(B30:B70,"Pendiente",C30:C70)</f>
        <v/>
      </c>
      <c r="D73" s="435" t="n"/>
      <c r="E73" s="301" t="n"/>
      <c r="F73" s="301" t="n"/>
      <c r="G73" s="301" t="inlineStr">
        <is>
          <t>Desvío Imprevisto (5%)</t>
        </is>
      </c>
      <c r="H73" s="427" t="n">
        <v>0.05</v>
      </c>
      <c r="I73" s="328">
        <f>J12*0.05</f>
        <v/>
      </c>
      <c r="J73" s="328" t="n">
        <v>0</v>
      </c>
      <c r="K73" s="429">
        <f>IF(J73&gt;=I73,"🟢","🔴")</f>
        <v/>
      </c>
      <c r="L73" s="301" t="n"/>
    </row>
    <row r="74" ht="15" customHeight="1" s="221">
      <c r="A74" s="354" t="n"/>
      <c r="B74" s="354" t="n"/>
      <c r="C74" s="359" t="n"/>
      <c r="D74" s="360" t="n"/>
      <c r="E74" s="301" t="n"/>
      <c r="F74" s="301" t="n"/>
      <c r="G74" s="223" t="inlineStr">
        <is>
          <t>TOTAL</t>
        </is>
      </c>
      <c r="H74" s="436">
        <f>SUM(H69:H73)</f>
        <v/>
      </c>
      <c r="I74" s="437">
        <f>SUM(I69:I73)</f>
        <v/>
      </c>
      <c r="J74" s="437">
        <f>SUM(J69:J73)</f>
        <v/>
      </c>
      <c r="K74" s="301" t="n"/>
      <c r="L74" s="301" t="n"/>
    </row>
    <row r="75" ht="15" customHeight="1" s="221">
      <c r="A75" s="354" t="n"/>
      <c r="B75" s="354" t="n"/>
      <c r="C75" s="359" t="n"/>
      <c r="D75" s="360" t="n"/>
      <c r="E75" s="301" t="n"/>
      <c r="F75" s="301" t="n"/>
      <c r="G75" s="301" t="n"/>
      <c r="H75" s="301" t="n"/>
      <c r="I75" s="301" t="n"/>
      <c r="J75" s="301" t="n"/>
      <c r="K75" s="301" t="n"/>
      <c r="L75" s="301" t="n"/>
    </row>
    <row r="76" ht="15" customHeight="1" s="221">
      <c r="A76" s="354" t="n"/>
      <c r="B76" s="354" t="n"/>
      <c r="C76" s="359" t="n"/>
      <c r="D76" s="360" t="n"/>
      <c r="E76" s="301" t="n"/>
      <c r="F76" s="301" t="n"/>
      <c r="G76" s="223" t="inlineStr">
        <is>
          <t>% GASTOS SOBRE INGRESO:</t>
        </is>
      </c>
      <c r="H76" s="301" t="n"/>
      <c r="I76" s="301" t="n"/>
      <c r="J76" s="438">
        <f>IF(J12=0,0,J69/J12)</f>
        <v/>
      </c>
      <c r="K76" s="301" t="n"/>
      <c r="L76" s="301" t="n"/>
    </row>
    <row r="77" ht="15" customHeight="1" s="221">
      <c r="A77" s="354" t="n"/>
      <c r="B77" s="354" t="n"/>
      <c r="C77" s="359" t="n"/>
      <c r="D77" s="360" t="n"/>
      <c r="E77" s="301" t="n"/>
      <c r="F77" s="301" t="n"/>
      <c r="G77" s="223" t="inlineStr">
        <is>
          <t>DIAGNÓSTICO:</t>
        </is>
      </c>
      <c r="H77" s="301" t="n"/>
      <c r="I77" s="301" t="n"/>
      <c r="J77" s="439">
        <f>IF(J12=0,"Sin datos",IF(J69/J12&lt;=0.75,"🟢 CLÍNICA SANA",IF(J69/J12&lt;=0.9,"🟡 REVISAR GASTOS","🔴 SITUACIÓN CRÍTICA")))</f>
        <v/>
      </c>
      <c r="L77" s="301" t="n"/>
    </row>
    <row r="78" ht="15" customHeight="1" s="221">
      <c r="A78" s="354" t="n"/>
      <c r="B78" s="354" t="n"/>
      <c r="C78" s="359" t="n"/>
      <c r="D78" s="360" t="n"/>
      <c r="E78" s="301" t="n"/>
      <c r="F78" s="301" t="n"/>
      <c r="G78" s="301" t="n"/>
      <c r="H78" s="301" t="n"/>
      <c r="I78" s="301" t="n"/>
      <c r="J78" s="301" t="n"/>
      <c r="K78" s="301" t="n"/>
      <c r="L78" s="301" t="n"/>
    </row>
    <row r="79" ht="15" customHeight="1" s="221">
      <c r="A79" s="354" t="n"/>
      <c r="B79" s="354" t="n"/>
      <c r="C79" s="359" t="n"/>
      <c r="D79" s="360" t="n"/>
      <c r="E79" s="301" t="n"/>
      <c r="F79" s="301" t="n"/>
      <c r="G79" s="301" t="n"/>
      <c r="H79" s="301" t="n"/>
      <c r="I79" s="301" t="n"/>
      <c r="J79" s="301" t="n"/>
      <c r="K79" s="301" t="n"/>
      <c r="L79" s="301" t="n"/>
    </row>
    <row r="80" ht="15" customHeight="1" s="221">
      <c r="A80" s="301" t="n"/>
      <c r="B80" s="301" t="n"/>
      <c r="C80" s="328" t="n"/>
      <c r="D80" s="301" t="n"/>
      <c r="E80" s="301" t="n"/>
      <c r="F80" s="301" t="n"/>
      <c r="G80" s="301" t="n"/>
      <c r="H80" s="301" t="n"/>
      <c r="I80" s="301" t="n"/>
      <c r="J80" s="301" t="n"/>
      <c r="K80" s="301" t="n"/>
      <c r="L80" s="301" t="n"/>
    </row>
    <row r="81" ht="15.75" customHeight="1" s="221">
      <c r="A81" s="301" t="n"/>
      <c r="B81" s="301" t="n"/>
      <c r="C81" s="328" t="n"/>
      <c r="D81" s="301" t="n"/>
      <c r="E81" s="301" t="n"/>
      <c r="F81" s="301" t="n"/>
      <c r="G81" s="301" t="n"/>
      <c r="H81" s="301" t="n"/>
      <c r="I81" s="301" t="n"/>
      <c r="J81" s="301" t="n"/>
      <c r="K81" s="301" t="n"/>
      <c r="L81" s="301" t="n"/>
    </row>
    <row r="82" ht="15.75" customHeight="1" s="221">
      <c r="A82" s="301" t="n"/>
      <c r="B82" s="301" t="n"/>
      <c r="C82" s="328" t="n"/>
      <c r="D82" s="301" t="n"/>
      <c r="E82" s="301" t="n"/>
      <c r="F82" s="301" t="n"/>
      <c r="G82" s="301" t="n"/>
      <c r="H82" s="301" t="n"/>
      <c r="I82" s="301" t="n"/>
      <c r="J82" s="301" t="n"/>
      <c r="K82" s="301" t="n"/>
      <c r="L82" s="301" t="n"/>
    </row>
    <row r="83" ht="15" customHeight="1" s="221">
      <c r="A83" s="301" t="n"/>
      <c r="B83" s="301" t="n"/>
      <c r="C83" s="301" t="n"/>
      <c r="D83" s="301" t="n"/>
      <c r="E83" s="301" t="n"/>
      <c r="F83" s="301" t="n"/>
      <c r="G83" s="301" t="n"/>
      <c r="H83" s="301" t="n"/>
      <c r="I83" s="301" t="n"/>
      <c r="J83" s="301" t="n"/>
      <c r="K83" s="301" t="n"/>
      <c r="L83" s="301" t="n"/>
    </row>
    <row r="84" ht="15" customHeight="1" s="221">
      <c r="A84" s="301" t="n"/>
      <c r="B84" s="301" t="n"/>
      <c r="C84" s="301" t="n"/>
      <c r="D84" s="301" t="n"/>
      <c r="E84" s="301" t="n"/>
      <c r="F84" s="301" t="n"/>
      <c r="G84" s="301" t="n"/>
      <c r="H84" s="301" t="n"/>
      <c r="I84" s="301" t="n"/>
      <c r="J84" s="301" t="n"/>
      <c r="K84" s="301" t="n"/>
      <c r="L84" s="301" t="n"/>
    </row>
    <row r="85" ht="15" customHeight="1" s="221">
      <c r="A85" s="354" t="n"/>
      <c r="B85" s="354" t="n"/>
      <c r="C85" s="354" t="n"/>
      <c r="D85" s="354" t="n"/>
      <c r="E85" s="301" t="n"/>
      <c r="F85" s="301" t="n"/>
      <c r="G85" s="301" t="n"/>
      <c r="H85" s="301" t="n"/>
      <c r="I85" s="301" t="n"/>
      <c r="J85" s="301" t="n"/>
      <c r="K85" s="301" t="n"/>
      <c r="L85" s="301" t="n"/>
    </row>
    <row r="86" ht="15" customHeight="1" s="221">
      <c r="A86" s="301" t="n"/>
      <c r="B86" s="301" t="n"/>
      <c r="C86" s="301" t="n"/>
      <c r="D86" s="301" t="n"/>
      <c r="E86" s="301" t="n"/>
      <c r="F86" s="301" t="n"/>
      <c r="G86" s="301" t="n"/>
      <c r="H86" s="301" t="n"/>
      <c r="I86" s="301" t="n"/>
      <c r="J86" s="301" t="n"/>
      <c r="K86" s="301" t="n"/>
      <c r="L86" s="301" t="n"/>
    </row>
    <row r="87" ht="15" customHeight="1" s="221">
      <c r="A87" s="354" t="n"/>
      <c r="B87" s="354" t="n"/>
      <c r="C87" s="359" t="n"/>
      <c r="D87" s="360" t="n"/>
      <c r="E87" s="301" t="n"/>
      <c r="F87" s="301" t="n"/>
      <c r="G87" s="301" t="n"/>
      <c r="H87" s="301" t="n"/>
      <c r="I87" s="301" t="n"/>
      <c r="J87" s="301" t="n"/>
      <c r="K87" s="301" t="n"/>
      <c r="L87" s="301" t="n"/>
    </row>
    <row r="88" ht="15" customHeight="1" s="221">
      <c r="A88" s="354" t="n"/>
      <c r="B88" s="354" t="n"/>
      <c r="C88" s="359" t="n"/>
      <c r="D88" s="360" t="n"/>
      <c r="E88" s="301" t="n"/>
      <c r="F88" s="301" t="n"/>
      <c r="G88" s="301" t="n"/>
      <c r="H88" s="301" t="n"/>
      <c r="I88" s="301" t="n"/>
      <c r="J88" s="301" t="n"/>
      <c r="K88" s="301" t="n"/>
      <c r="L88" s="301" t="n"/>
    </row>
    <row r="89" ht="15" customHeight="1" s="221">
      <c r="A89" s="354" t="n"/>
      <c r="B89" s="354" t="n"/>
      <c r="C89" s="359" t="n"/>
      <c r="D89" s="360" t="n"/>
      <c r="E89" s="301" t="n"/>
      <c r="F89" s="301" t="n"/>
      <c r="G89" s="301" t="n"/>
      <c r="H89" s="301" t="n"/>
      <c r="I89" s="301" t="n"/>
      <c r="J89" s="301" t="n"/>
      <c r="K89" s="301" t="n"/>
      <c r="L89" s="301" t="n"/>
    </row>
    <row r="90" ht="15" customHeight="1" s="221">
      <c r="A90" s="354" t="n"/>
      <c r="B90" s="354" t="n"/>
      <c r="C90" s="359" t="n"/>
      <c r="D90" s="360" t="n"/>
      <c r="E90" s="301" t="n"/>
      <c r="F90" s="301" t="n"/>
      <c r="G90" s="301" t="n"/>
      <c r="H90" s="301" t="n"/>
      <c r="I90" s="301" t="n"/>
      <c r="J90" s="301" t="n"/>
      <c r="K90" s="301" t="n"/>
      <c r="L90" s="301" t="n"/>
    </row>
    <row r="91" ht="15" customHeight="1" s="221">
      <c r="A91" s="301" t="n"/>
      <c r="B91" s="301" t="n"/>
      <c r="C91" s="328" t="n"/>
      <c r="D91" s="301" t="n"/>
      <c r="E91" s="301" t="n"/>
      <c r="F91" s="301" t="n"/>
      <c r="G91" s="301" t="n"/>
      <c r="H91" s="301" t="n"/>
      <c r="I91" s="301" t="n"/>
      <c r="J91" s="301" t="n"/>
      <c r="K91" s="301" t="n"/>
      <c r="L91" s="301" t="n"/>
    </row>
    <row r="92" ht="15" customHeight="1" s="221">
      <c r="A92" s="301" t="n"/>
      <c r="B92" s="301" t="n"/>
      <c r="C92" s="301" t="n"/>
      <c r="D92" s="301" t="n"/>
      <c r="E92" s="301" t="n"/>
      <c r="F92" s="301" t="n"/>
      <c r="G92" s="301" t="n"/>
      <c r="H92" s="301" t="n"/>
      <c r="I92" s="301" t="n"/>
      <c r="J92" s="301" t="n"/>
      <c r="K92" s="301" t="n"/>
      <c r="L92" s="301" t="n"/>
    </row>
    <row r="93" ht="15" customHeight="1" s="221">
      <c r="A93" s="354" t="n"/>
      <c r="B93" s="354" t="n"/>
      <c r="C93" s="359" t="n"/>
      <c r="D93" s="360" t="n"/>
      <c r="E93" s="301" t="n"/>
      <c r="F93" s="301" t="n"/>
      <c r="G93" s="301" t="n"/>
      <c r="H93" s="301" t="n"/>
      <c r="I93" s="301" t="n"/>
      <c r="J93" s="301" t="n"/>
      <c r="K93" s="301" t="n"/>
      <c r="L93" s="301" t="n"/>
    </row>
    <row r="94" ht="15" customHeight="1" s="221">
      <c r="A94" s="354" t="n"/>
      <c r="B94" s="354" t="n"/>
      <c r="C94" s="359" t="n"/>
      <c r="D94" s="360" t="n"/>
      <c r="E94" s="301" t="n"/>
      <c r="F94" s="301" t="n"/>
      <c r="G94" s="301" t="n"/>
      <c r="H94" s="301" t="n"/>
      <c r="I94" s="301" t="n"/>
      <c r="J94" s="301" t="n"/>
      <c r="K94" s="301" t="n"/>
      <c r="L94" s="301" t="n"/>
    </row>
    <row r="95" ht="15" customHeight="1" s="221">
      <c r="A95" s="354" t="n"/>
      <c r="B95" s="354" t="n"/>
      <c r="C95" s="359" t="n"/>
      <c r="D95" s="360" t="n"/>
      <c r="E95" s="301" t="n"/>
      <c r="F95" s="301" t="n"/>
      <c r="G95" s="301" t="n"/>
      <c r="H95" s="301" t="n"/>
      <c r="I95" s="301" t="n"/>
      <c r="J95" s="301" t="n"/>
      <c r="K95" s="301" t="n"/>
      <c r="L95" s="301" t="n"/>
    </row>
    <row r="96" ht="15" customHeight="1" s="221">
      <c r="A96" s="354" t="n"/>
      <c r="B96" s="354" t="n"/>
      <c r="C96" s="359" t="n"/>
      <c r="D96" s="360" t="n"/>
      <c r="E96" s="301" t="n"/>
      <c r="F96" s="301" t="n"/>
      <c r="G96" s="301" t="n"/>
      <c r="H96" s="301" t="n"/>
      <c r="I96" s="301" t="n"/>
      <c r="J96" s="301" t="n"/>
      <c r="K96" s="301" t="n"/>
      <c r="L96" s="301" t="n"/>
    </row>
    <row r="97" ht="15" customHeight="1" s="221">
      <c r="A97" s="354" t="n"/>
      <c r="B97" s="354" t="n"/>
      <c r="C97" s="359" t="n"/>
      <c r="D97" s="360" t="n"/>
      <c r="E97" s="301" t="n"/>
      <c r="F97" s="301" t="n"/>
      <c r="G97" s="301" t="n"/>
      <c r="H97" s="301" t="n"/>
      <c r="I97" s="301" t="n"/>
      <c r="J97" s="301" t="n"/>
      <c r="K97" s="301" t="n"/>
      <c r="L97" s="301" t="n"/>
    </row>
    <row r="98" ht="15" customHeight="1" s="221">
      <c r="A98" s="354" t="n"/>
      <c r="B98" s="354" t="n"/>
      <c r="C98" s="359" t="n"/>
      <c r="D98" s="360" t="n"/>
      <c r="E98" s="301" t="n"/>
      <c r="F98" s="301" t="n"/>
      <c r="G98" s="301" t="n"/>
      <c r="H98" s="301" t="n"/>
      <c r="I98" s="301" t="n"/>
      <c r="J98" s="301" t="n"/>
      <c r="K98" s="301" t="n"/>
      <c r="L98" s="301" t="n"/>
    </row>
    <row r="99" ht="15" customHeight="1" s="221">
      <c r="A99" s="301" t="n"/>
      <c r="B99" s="301" t="n"/>
      <c r="C99" s="328" t="n"/>
      <c r="D99" s="301" t="n"/>
      <c r="E99" s="301" t="n"/>
      <c r="F99" s="301" t="n"/>
      <c r="G99" s="301" t="n"/>
      <c r="H99" s="301" t="n"/>
      <c r="I99" s="301" t="n"/>
      <c r="J99" s="301" t="n"/>
      <c r="K99" s="301" t="n"/>
      <c r="L99" s="301" t="n"/>
    </row>
    <row r="100" ht="15" customHeight="1" s="221">
      <c r="A100" s="301" t="n"/>
      <c r="B100" s="301" t="n"/>
      <c r="C100" s="301" t="n"/>
      <c r="D100" s="301" t="n"/>
      <c r="E100" s="301" t="n"/>
      <c r="F100" s="301" t="n"/>
      <c r="G100" s="301" t="n"/>
      <c r="H100" s="301" t="n"/>
      <c r="I100" s="301" t="n"/>
      <c r="J100" s="301" t="n"/>
      <c r="K100" s="301" t="n"/>
      <c r="L100" s="301" t="n"/>
    </row>
    <row r="101" ht="15" customHeight="1" s="221">
      <c r="A101" s="354" t="n"/>
      <c r="B101" s="354" t="n"/>
      <c r="C101" s="359" t="n"/>
      <c r="D101" s="360" t="n"/>
      <c r="E101" s="301" t="n"/>
      <c r="F101" s="301" t="n"/>
      <c r="G101" s="301" t="n"/>
      <c r="H101" s="301" t="n"/>
      <c r="I101" s="301" t="n"/>
      <c r="J101" s="301" t="n"/>
      <c r="K101" s="301" t="n"/>
      <c r="L101" s="301" t="n"/>
    </row>
    <row r="102" ht="15" customHeight="1" s="221">
      <c r="A102" s="354" t="n"/>
      <c r="B102" s="354" t="n"/>
      <c r="C102" s="359" t="n"/>
      <c r="D102" s="360" t="n"/>
      <c r="E102" s="301" t="n"/>
      <c r="F102" s="301" t="n"/>
      <c r="G102" s="301" t="n"/>
      <c r="H102" s="301" t="n"/>
      <c r="I102" s="301" t="n"/>
      <c r="J102" s="301" t="n"/>
      <c r="K102" s="301" t="n"/>
      <c r="L102" s="301" t="n"/>
    </row>
    <row r="103" ht="15" customHeight="1" s="221">
      <c r="A103" s="354" t="n"/>
      <c r="B103" s="354" t="n"/>
      <c r="C103" s="359" t="n"/>
      <c r="D103" s="360" t="n"/>
      <c r="E103" s="301" t="n"/>
      <c r="F103" s="301" t="n"/>
      <c r="G103" s="301" t="n"/>
      <c r="H103" s="301" t="n"/>
      <c r="I103" s="301" t="n"/>
      <c r="J103" s="301" t="n"/>
      <c r="K103" s="301" t="n"/>
      <c r="L103" s="301" t="n"/>
    </row>
    <row r="104" ht="15" customHeight="1" s="221">
      <c r="A104" s="354" t="n"/>
      <c r="B104" s="354" t="n"/>
      <c r="C104" s="359" t="n"/>
      <c r="D104" s="360" t="n"/>
      <c r="E104" s="301" t="n"/>
      <c r="F104" s="301" t="n"/>
      <c r="G104" s="301" t="n"/>
      <c r="H104" s="301" t="n"/>
      <c r="I104" s="301" t="n"/>
      <c r="J104" s="301" t="n"/>
      <c r="K104" s="301" t="n"/>
      <c r="L104" s="301" t="n"/>
    </row>
    <row r="105" ht="15" customHeight="1" s="221">
      <c r="A105" s="354" t="n"/>
      <c r="B105" s="354" t="n"/>
      <c r="C105" s="359" t="n"/>
      <c r="D105" s="360" t="n"/>
      <c r="E105" s="301" t="n"/>
      <c r="F105" s="301" t="n"/>
      <c r="G105" s="301" t="n"/>
      <c r="H105" s="301" t="n"/>
      <c r="I105" s="301" t="n"/>
      <c r="J105" s="301" t="n"/>
      <c r="K105" s="301" t="n"/>
      <c r="L105" s="301" t="n"/>
    </row>
    <row r="106" ht="15" customHeight="1" s="221">
      <c r="A106" s="301" t="n"/>
      <c r="B106" s="301" t="n"/>
      <c r="C106" s="328" t="n"/>
      <c r="D106" s="301" t="n"/>
      <c r="E106" s="301" t="n"/>
      <c r="F106" s="301" t="n"/>
      <c r="G106" s="301" t="n"/>
      <c r="H106" s="301" t="n"/>
      <c r="I106" s="301" t="n"/>
      <c r="J106" s="301" t="n"/>
      <c r="K106" s="301" t="n"/>
      <c r="L106" s="301" t="n"/>
    </row>
    <row r="107" ht="15" customHeight="1" s="221">
      <c r="A107" s="301" t="n"/>
      <c r="B107" s="301" t="n"/>
      <c r="C107" s="301" t="n"/>
      <c r="D107" s="301" t="n"/>
      <c r="E107" s="301" t="n"/>
      <c r="F107" s="301" t="n"/>
      <c r="G107" s="301" t="n"/>
      <c r="H107" s="301" t="n"/>
      <c r="I107" s="301" t="n"/>
      <c r="J107" s="301" t="n"/>
      <c r="K107" s="301" t="n"/>
      <c r="L107" s="301" t="n"/>
    </row>
    <row r="108" ht="15" customHeight="1" s="221">
      <c r="A108" s="354" t="n"/>
      <c r="B108" s="354" t="n"/>
      <c r="C108" s="359" t="n"/>
      <c r="D108" s="360" t="n"/>
      <c r="E108" s="301" t="n"/>
      <c r="F108" s="301" t="n"/>
      <c r="G108" s="301" t="n"/>
      <c r="H108" s="301" t="n"/>
      <c r="I108" s="301" t="n"/>
      <c r="J108" s="301" t="n"/>
      <c r="K108" s="301" t="n"/>
      <c r="L108" s="301" t="n"/>
    </row>
    <row r="109" ht="15" customHeight="1" s="221">
      <c r="A109" s="354" t="n"/>
      <c r="B109" s="354" t="n"/>
      <c r="C109" s="359" t="n"/>
      <c r="D109" s="360" t="n"/>
      <c r="E109" s="301" t="n"/>
      <c r="F109" s="301" t="n"/>
      <c r="G109" s="301" t="n"/>
      <c r="H109" s="301" t="n"/>
      <c r="I109" s="301" t="n"/>
      <c r="J109" s="301" t="n"/>
      <c r="K109" s="301" t="n"/>
      <c r="L109" s="301" t="n"/>
    </row>
    <row r="110" ht="15" customHeight="1" s="221">
      <c r="A110" s="301" t="n"/>
      <c r="B110" s="301" t="n"/>
      <c r="C110" s="328" t="n"/>
      <c r="D110" s="301" t="n"/>
      <c r="E110" s="301" t="n"/>
      <c r="F110" s="301" t="n"/>
      <c r="G110" s="301" t="n"/>
      <c r="H110" s="301" t="n"/>
      <c r="I110" s="301" t="n"/>
      <c r="J110" s="301" t="n"/>
      <c r="K110" s="301" t="n"/>
      <c r="L110" s="301" t="n"/>
    </row>
    <row r="111" ht="15" customHeight="1" s="221">
      <c r="A111" s="301" t="n"/>
      <c r="B111" s="301" t="n"/>
      <c r="C111" s="301" t="n"/>
      <c r="D111" s="301" t="n"/>
      <c r="E111" s="301" t="n"/>
      <c r="F111" s="301" t="n"/>
      <c r="G111" s="301" t="n"/>
      <c r="H111" s="301" t="n"/>
      <c r="I111" s="301" t="n"/>
      <c r="J111" s="301" t="n"/>
      <c r="K111" s="301" t="n"/>
      <c r="L111" s="301" t="n"/>
    </row>
    <row r="112" ht="15" customHeight="1" s="221">
      <c r="A112" s="354" t="n"/>
      <c r="B112" s="354" t="n"/>
      <c r="C112" s="359" t="n"/>
      <c r="D112" s="360" t="n"/>
      <c r="E112" s="301" t="n"/>
      <c r="F112" s="301" t="n"/>
      <c r="G112" s="301" t="n"/>
      <c r="H112" s="301" t="n"/>
      <c r="I112" s="301" t="n"/>
      <c r="J112" s="301" t="n"/>
      <c r="K112" s="301" t="n"/>
      <c r="L112" s="301" t="n"/>
    </row>
    <row r="113" ht="15" customHeight="1" s="221">
      <c r="A113" s="354" t="n"/>
      <c r="B113" s="354" t="n"/>
      <c r="C113" s="359" t="n"/>
      <c r="D113" s="360" t="n"/>
      <c r="E113" s="301" t="n"/>
      <c r="F113" s="301" t="n"/>
      <c r="G113" s="301" t="n"/>
      <c r="H113" s="301" t="n"/>
      <c r="I113" s="301" t="n"/>
      <c r="J113" s="301" t="n"/>
      <c r="K113" s="301" t="n"/>
      <c r="L113" s="301" t="n"/>
    </row>
    <row r="114" ht="15" customHeight="1" s="221">
      <c r="A114" s="354" t="n"/>
      <c r="B114" s="354" t="n"/>
      <c r="C114" s="359" t="n"/>
      <c r="D114" s="360" t="n"/>
      <c r="E114" s="301" t="n"/>
      <c r="F114" s="301" t="n"/>
      <c r="G114" s="301" t="n"/>
      <c r="H114" s="301" t="n"/>
      <c r="I114" s="301" t="n"/>
      <c r="J114" s="301" t="n"/>
      <c r="K114" s="301" t="n"/>
      <c r="L114" s="301" t="n"/>
    </row>
    <row r="115" ht="15" customHeight="1" s="221">
      <c r="A115" s="354" t="n"/>
      <c r="B115" s="354" t="n"/>
      <c r="C115" s="359" t="n"/>
      <c r="D115" s="360" t="n"/>
      <c r="E115" s="301" t="n"/>
      <c r="F115" s="301" t="n"/>
      <c r="G115" s="301" t="n"/>
      <c r="H115" s="301" t="n"/>
      <c r="I115" s="301" t="n"/>
      <c r="J115" s="301" t="n"/>
      <c r="K115" s="301" t="n"/>
      <c r="L115" s="301" t="n"/>
    </row>
    <row r="116" ht="15" customHeight="1" s="221">
      <c r="A116" s="354" t="n"/>
      <c r="B116" s="354" t="n"/>
      <c r="C116" s="359" t="n"/>
      <c r="D116" s="360" t="n"/>
      <c r="E116" s="301" t="n"/>
      <c r="F116" s="301" t="n"/>
      <c r="G116" s="301" t="n"/>
      <c r="H116" s="301" t="n"/>
      <c r="I116" s="301" t="n"/>
      <c r="J116" s="301" t="n"/>
      <c r="K116" s="301" t="n"/>
      <c r="L116" s="301" t="n"/>
    </row>
    <row r="117" ht="15" customHeight="1" s="221">
      <c r="A117" s="354" t="n"/>
      <c r="B117" s="354" t="n"/>
      <c r="C117" s="359" t="n"/>
      <c r="D117" s="360" t="n"/>
      <c r="E117" s="301" t="n"/>
      <c r="F117" s="301" t="n"/>
      <c r="G117" s="301" t="n"/>
      <c r="H117" s="301" t="n"/>
      <c r="I117" s="301" t="n"/>
      <c r="J117" s="301" t="n"/>
      <c r="K117" s="301" t="n"/>
      <c r="L117" s="301" t="n"/>
    </row>
    <row r="118" ht="15" customHeight="1" s="221">
      <c r="A118" s="354" t="n"/>
      <c r="B118" s="354" t="n"/>
      <c r="C118" s="359" t="n"/>
      <c r="D118" s="360" t="n"/>
      <c r="E118" s="301" t="n"/>
      <c r="F118" s="301" t="n"/>
      <c r="G118" s="301" t="n"/>
      <c r="H118" s="301" t="n"/>
      <c r="I118" s="301" t="n"/>
      <c r="J118" s="301" t="n"/>
      <c r="K118" s="301" t="n"/>
      <c r="L118" s="301" t="n"/>
    </row>
    <row r="119" ht="15" customHeight="1" s="221">
      <c r="A119" s="354" t="n"/>
      <c r="B119" s="354" t="n"/>
      <c r="C119" s="359" t="n"/>
      <c r="D119" s="360" t="n"/>
      <c r="E119" s="301" t="n"/>
      <c r="F119" s="301" t="n"/>
      <c r="G119" s="301" t="n"/>
      <c r="H119" s="301" t="n"/>
      <c r="I119" s="301" t="n"/>
      <c r="J119" s="301" t="n"/>
      <c r="K119" s="301" t="n"/>
      <c r="L119" s="301" t="n"/>
    </row>
    <row r="120" ht="15" customHeight="1" s="221">
      <c r="A120" s="354" t="n"/>
      <c r="B120" s="354" t="n"/>
      <c r="C120" s="359" t="n"/>
      <c r="D120" s="360" t="n"/>
      <c r="E120" s="301" t="n"/>
      <c r="F120" s="301" t="n"/>
      <c r="G120" s="301" t="n"/>
      <c r="H120" s="301" t="n"/>
      <c r="I120" s="301" t="n"/>
      <c r="J120" s="301" t="n"/>
      <c r="K120" s="301" t="n"/>
      <c r="L120" s="301" t="n"/>
    </row>
    <row r="121" ht="15" customHeight="1" s="221">
      <c r="A121" s="301" t="n"/>
      <c r="B121" s="301" t="n"/>
      <c r="C121" s="328" t="n"/>
      <c r="D121" s="301" t="n"/>
      <c r="E121" s="301" t="n"/>
      <c r="F121" s="301" t="n"/>
      <c r="G121" s="301" t="n"/>
      <c r="H121" s="301" t="n"/>
      <c r="I121" s="301" t="n"/>
      <c r="J121" s="301" t="n"/>
      <c r="K121" s="301" t="n"/>
      <c r="L121" s="301" t="n"/>
    </row>
    <row r="122" ht="15.75" customHeight="1" s="221">
      <c r="A122" s="301" t="n"/>
      <c r="B122" s="301" t="n"/>
      <c r="C122" s="328" t="n"/>
      <c r="D122" s="301" t="n"/>
      <c r="E122" s="301" t="n"/>
      <c r="F122" s="301" t="n"/>
      <c r="G122" s="301" t="n"/>
      <c r="H122" s="301" t="n"/>
      <c r="I122" s="301" t="n"/>
      <c r="J122" s="301" t="n"/>
      <c r="K122" s="301" t="n"/>
      <c r="L122" s="301" t="n"/>
    </row>
    <row r="123" ht="15.75" customHeight="1" s="221">
      <c r="A123" s="301" t="n"/>
      <c r="B123" s="301" t="n"/>
      <c r="C123" s="328" t="n"/>
      <c r="D123" s="301" t="n"/>
      <c r="E123" s="301" t="n"/>
      <c r="F123" s="301" t="n"/>
      <c r="G123" s="301" t="n"/>
      <c r="H123" s="301" t="n"/>
      <c r="I123" s="301" t="n"/>
      <c r="J123" s="301" t="n"/>
      <c r="K123" s="301" t="n"/>
      <c r="L123" s="301" t="n"/>
    </row>
    <row r="124" ht="15" customHeight="1" s="221">
      <c r="A124" s="301" t="n"/>
      <c r="B124" s="301" t="n"/>
      <c r="C124" s="301" t="n"/>
      <c r="D124" s="301" t="n"/>
      <c r="E124" s="301" t="n"/>
      <c r="F124" s="301" t="n"/>
      <c r="G124" s="301" t="n"/>
      <c r="H124" s="301" t="n"/>
      <c r="I124" s="301" t="n"/>
      <c r="J124" s="301" t="n"/>
      <c r="K124" s="301" t="n"/>
      <c r="L124" s="301" t="n"/>
    </row>
    <row r="125" ht="15" customHeight="1" s="221">
      <c r="A125" s="301" t="n"/>
      <c r="B125" s="301" t="n"/>
      <c r="C125" s="301" t="n"/>
      <c r="D125" s="301" t="n"/>
      <c r="E125" s="301" t="n"/>
      <c r="F125" s="301" t="n"/>
      <c r="G125" s="301" t="n"/>
      <c r="H125" s="301" t="n"/>
      <c r="I125" s="301" t="n"/>
      <c r="J125" s="301" t="n"/>
      <c r="K125" s="301" t="n"/>
      <c r="L125" s="301" t="n"/>
    </row>
    <row r="126" ht="15" customHeight="1" s="221">
      <c r="A126" s="301" t="n"/>
      <c r="B126" s="301" t="n"/>
      <c r="C126" s="301" t="n"/>
      <c r="D126" s="301" t="n"/>
      <c r="E126" s="301" t="n"/>
      <c r="F126" s="301" t="n"/>
      <c r="G126" s="301" t="n"/>
      <c r="H126" s="301" t="n"/>
      <c r="I126" s="301" t="n"/>
      <c r="J126" s="301" t="n"/>
      <c r="K126" s="301" t="n"/>
      <c r="L126" s="301" t="n"/>
    </row>
    <row r="127" ht="15" customHeight="1" s="221">
      <c r="A127" s="301" t="n"/>
      <c r="B127" s="301" t="n"/>
      <c r="C127" s="301" t="n"/>
      <c r="D127" s="301" t="n"/>
      <c r="E127" s="301" t="n"/>
      <c r="F127" s="301" t="n"/>
      <c r="G127" s="301" t="n"/>
      <c r="H127" s="301" t="n"/>
      <c r="I127" s="301" t="n"/>
      <c r="J127" s="301" t="n"/>
      <c r="K127" s="301" t="n"/>
      <c r="L127" s="301" t="n"/>
    </row>
    <row r="128" ht="15" customHeight="1" s="221">
      <c r="A128" s="301" t="n"/>
      <c r="B128" s="301" t="n"/>
      <c r="C128" s="301" t="n"/>
      <c r="D128" s="301" t="n"/>
      <c r="E128" s="301" t="n"/>
      <c r="F128" s="301" t="n"/>
      <c r="G128" s="301" t="n"/>
      <c r="H128" s="301" t="n"/>
      <c r="I128" s="301" t="n"/>
      <c r="J128" s="301" t="n"/>
      <c r="K128" s="301" t="n"/>
      <c r="L128" s="301" t="n"/>
    </row>
    <row r="129" ht="15" customHeight="1" s="221">
      <c r="A129" s="301" t="n"/>
      <c r="B129" s="301" t="n"/>
      <c r="C129" s="301" t="n"/>
      <c r="D129" s="301" t="n"/>
      <c r="E129" s="301" t="n"/>
      <c r="F129" s="301" t="n"/>
      <c r="G129" s="301" t="n"/>
      <c r="H129" s="301" t="n"/>
      <c r="I129" s="301" t="n"/>
      <c r="J129" s="301" t="n"/>
      <c r="K129" s="301" t="n"/>
      <c r="L129" s="301" t="n"/>
    </row>
    <row r="130" ht="15" customHeight="1" s="221">
      <c r="A130" s="301" t="n"/>
      <c r="B130" s="301" t="n"/>
      <c r="C130" s="301" t="n"/>
      <c r="D130" s="301" t="n"/>
      <c r="E130" s="301" t="n"/>
      <c r="F130" s="301" t="n"/>
      <c r="G130" s="301" t="n"/>
      <c r="H130" s="301" t="n"/>
      <c r="I130" s="301" t="n"/>
      <c r="J130" s="301" t="n"/>
      <c r="K130" s="301" t="n"/>
      <c r="L130" s="301" t="n"/>
    </row>
    <row r="131" ht="15" customHeight="1" s="221">
      <c r="A131" s="301" t="n"/>
      <c r="B131" s="301" t="n"/>
      <c r="C131" s="301" t="n"/>
      <c r="D131" s="301" t="n"/>
      <c r="E131" s="301" t="n"/>
      <c r="F131" s="301" t="n"/>
      <c r="G131" s="301" t="n"/>
      <c r="H131" s="301" t="n"/>
      <c r="I131" s="301" t="n"/>
      <c r="J131" s="301" t="n"/>
      <c r="K131" s="301" t="n"/>
      <c r="L131" s="301" t="n"/>
    </row>
    <row r="132" ht="15" customHeight="1" s="221">
      <c r="A132" s="301" t="n"/>
      <c r="B132" s="301" t="n"/>
      <c r="C132" s="301" t="n"/>
      <c r="D132" s="301" t="n"/>
      <c r="E132" s="301" t="n"/>
      <c r="F132" s="301" t="n"/>
      <c r="G132" s="301" t="n"/>
      <c r="H132" s="301" t="n"/>
      <c r="I132" s="301" t="n"/>
      <c r="J132" s="301" t="n"/>
      <c r="K132" s="301" t="n"/>
      <c r="L132" s="301" t="n"/>
    </row>
    <row r="133" ht="15" customHeight="1" s="221">
      <c r="A133" s="301" t="n"/>
      <c r="B133" s="301" t="n"/>
      <c r="C133" s="301" t="n"/>
      <c r="D133" s="301" t="n"/>
      <c r="E133" s="301" t="n"/>
      <c r="F133" s="301" t="n"/>
      <c r="G133" s="301" t="n"/>
      <c r="H133" s="301" t="n"/>
      <c r="I133" s="301" t="n"/>
      <c r="J133" s="301" t="n"/>
      <c r="K133" s="301" t="n"/>
      <c r="L133" s="301" t="n"/>
    </row>
    <row r="134" ht="15" customHeight="1" s="221">
      <c r="A134" s="301" t="n"/>
      <c r="B134" s="301" t="n"/>
      <c r="C134" s="301" t="n"/>
      <c r="D134" s="301" t="n"/>
      <c r="E134" s="301" t="n"/>
      <c r="F134" s="301" t="n"/>
      <c r="G134" s="301" t="n"/>
      <c r="H134" s="301" t="n"/>
      <c r="I134" s="301" t="n"/>
      <c r="J134" s="301" t="n"/>
      <c r="K134" s="301" t="n"/>
      <c r="L134" s="301" t="n"/>
    </row>
    <row r="135" ht="15" customHeight="1" s="221">
      <c r="A135" s="301" t="n"/>
      <c r="B135" s="301" t="n"/>
      <c r="C135" s="301" t="n"/>
      <c r="D135" s="301" t="n"/>
      <c r="E135" s="301" t="n"/>
      <c r="F135" s="301" t="n"/>
      <c r="G135" s="301" t="n"/>
      <c r="H135" s="301" t="n"/>
      <c r="I135" s="301" t="n"/>
      <c r="J135" s="301" t="n"/>
      <c r="K135" s="301" t="n"/>
      <c r="L135" s="301" t="n"/>
    </row>
    <row r="136" ht="15" customHeight="1" s="221">
      <c r="A136" s="301" t="n"/>
      <c r="B136" s="301" t="n"/>
      <c r="C136" s="301" t="n"/>
      <c r="D136" s="301" t="n"/>
      <c r="E136" s="301" t="n"/>
      <c r="F136" s="301" t="n"/>
      <c r="G136" s="301" t="n"/>
      <c r="H136" s="301" t="n"/>
      <c r="I136" s="301" t="n"/>
      <c r="J136" s="301" t="n"/>
      <c r="K136" s="301" t="n"/>
      <c r="L136" s="301" t="n"/>
    </row>
    <row r="137" ht="15" customHeight="1" s="221">
      <c r="A137" s="301" t="n"/>
      <c r="B137" s="301" t="n"/>
      <c r="C137" s="301" t="n"/>
      <c r="D137" s="301" t="n"/>
      <c r="E137" s="301" t="n"/>
      <c r="F137" s="301" t="n"/>
      <c r="G137" s="301" t="n"/>
      <c r="H137" s="301" t="n"/>
      <c r="I137" s="301" t="n"/>
      <c r="J137" s="301" t="n"/>
      <c r="K137" s="301" t="n"/>
      <c r="L137" s="301" t="n"/>
    </row>
    <row r="138" ht="15" customHeight="1" s="221">
      <c r="A138" s="301" t="n"/>
      <c r="B138" s="301" t="n"/>
      <c r="C138" s="301" t="n"/>
      <c r="D138" s="301" t="n"/>
      <c r="E138" s="301" t="n"/>
      <c r="F138" s="301" t="n"/>
      <c r="G138" s="301" t="n"/>
      <c r="H138" s="301" t="n"/>
      <c r="I138" s="301" t="n"/>
      <c r="J138" s="301" t="n"/>
      <c r="K138" s="301" t="n"/>
      <c r="L138" s="301" t="n"/>
    </row>
    <row r="139" ht="15" customHeight="1" s="221">
      <c r="A139" s="301" t="n"/>
      <c r="B139" s="301" t="n"/>
      <c r="C139" s="301" t="n"/>
      <c r="D139" s="301" t="n"/>
      <c r="E139" s="301" t="n"/>
      <c r="F139" s="301" t="n"/>
      <c r="G139" s="301" t="n"/>
      <c r="H139" s="301" t="n"/>
      <c r="I139" s="301" t="n"/>
      <c r="J139" s="301" t="n"/>
      <c r="K139" s="301" t="n"/>
      <c r="L139" s="301" t="n"/>
    </row>
    <row r="140" ht="15" customHeight="1" s="221">
      <c r="A140" s="301" t="n"/>
      <c r="B140" s="301" t="n"/>
      <c r="C140" s="301" t="n"/>
      <c r="D140" s="301" t="n"/>
      <c r="E140" s="301" t="n"/>
      <c r="F140" s="301" t="n"/>
      <c r="G140" s="301" t="n"/>
      <c r="H140" s="301" t="n"/>
      <c r="I140" s="301" t="n"/>
      <c r="J140" s="301" t="n"/>
      <c r="K140" s="301" t="n"/>
      <c r="L140" s="301" t="n"/>
    </row>
    <row r="141" ht="15" customHeight="1" s="221">
      <c r="A141" s="301" t="n"/>
      <c r="B141" s="301" t="n"/>
      <c r="C141" s="301" t="n"/>
      <c r="D141" s="301" t="n"/>
      <c r="E141" s="301" t="n"/>
      <c r="F141" s="301" t="n"/>
      <c r="G141" s="301" t="n"/>
      <c r="H141" s="301" t="n"/>
      <c r="I141" s="301" t="n"/>
      <c r="J141" s="301" t="n"/>
      <c r="K141" s="301" t="n"/>
      <c r="L141" s="301" t="n"/>
    </row>
    <row r="142" ht="15" customHeight="1" s="221">
      <c r="A142" s="301" t="n"/>
      <c r="B142" s="301" t="n"/>
      <c r="C142" s="301" t="n"/>
      <c r="D142" s="301" t="n"/>
      <c r="E142" s="301" t="n"/>
      <c r="F142" s="301" t="n"/>
      <c r="G142" s="301" t="n"/>
      <c r="H142" s="301" t="n"/>
      <c r="I142" s="301" t="n"/>
      <c r="J142" s="301" t="n"/>
      <c r="K142" s="301" t="n"/>
      <c r="L142" s="301" t="n"/>
    </row>
    <row r="143" ht="15" customHeight="1" s="221">
      <c r="A143" s="301" t="n"/>
      <c r="B143" s="301" t="n"/>
      <c r="C143" s="301" t="n"/>
      <c r="D143" s="301" t="n"/>
      <c r="E143" s="301" t="n"/>
      <c r="F143" s="301" t="n"/>
      <c r="G143" s="301" t="n"/>
      <c r="H143" s="301" t="n"/>
      <c r="I143" s="301" t="n"/>
      <c r="J143" s="301" t="n"/>
      <c r="K143" s="301" t="n"/>
      <c r="L143" s="301" t="n"/>
    </row>
    <row r="144" ht="15" customHeight="1" s="221">
      <c r="A144" s="301" t="n"/>
      <c r="B144" s="301" t="n"/>
      <c r="C144" s="301" t="n"/>
      <c r="D144" s="301" t="n"/>
      <c r="E144" s="301" t="n"/>
      <c r="F144" s="301" t="n"/>
      <c r="G144" s="301" t="n"/>
      <c r="H144" s="301" t="n"/>
      <c r="I144" s="301" t="n"/>
      <c r="J144" s="301" t="n"/>
      <c r="K144" s="301" t="n"/>
      <c r="L144" s="301" t="n"/>
    </row>
    <row r="145" ht="15" customHeight="1" s="221">
      <c r="A145" s="301" t="n"/>
      <c r="B145" s="301" t="n"/>
      <c r="C145" s="301" t="n"/>
      <c r="D145" s="301" t="n"/>
      <c r="E145" s="301" t="n"/>
      <c r="F145" s="301" t="n"/>
      <c r="G145" s="301" t="n"/>
      <c r="H145" s="301" t="n"/>
      <c r="I145" s="301" t="n"/>
      <c r="J145" s="301" t="n"/>
      <c r="K145" s="301" t="n"/>
      <c r="L145" s="301" t="n"/>
    </row>
    <row r="146" ht="15" customHeight="1" s="221">
      <c r="A146" s="301" t="n"/>
      <c r="B146" s="301" t="n"/>
      <c r="C146" s="301" t="n"/>
      <c r="D146" s="301" t="n"/>
      <c r="E146" s="301" t="n"/>
      <c r="F146" s="301" t="n"/>
      <c r="G146" s="301" t="n"/>
      <c r="H146" s="301" t="n"/>
      <c r="I146" s="301" t="n"/>
      <c r="J146" s="301" t="n"/>
      <c r="K146" s="301" t="n"/>
      <c r="L146" s="301" t="n"/>
    </row>
    <row r="147" ht="15" customHeight="1" s="221">
      <c r="A147" s="301" t="n"/>
      <c r="B147" s="301" t="n"/>
      <c r="C147" s="301" t="n"/>
      <c r="D147" s="301" t="n"/>
      <c r="E147" s="301" t="n"/>
      <c r="F147" s="301" t="n"/>
      <c r="G147" s="301" t="n"/>
      <c r="H147" s="301" t="n"/>
      <c r="I147" s="301" t="n"/>
      <c r="J147" s="301" t="n"/>
      <c r="K147" s="301" t="n"/>
      <c r="L147" s="301" t="n"/>
    </row>
    <row r="148" ht="15" customHeight="1" s="221">
      <c r="A148" s="301" t="n"/>
      <c r="B148" s="301" t="n"/>
      <c r="C148" s="301" t="n"/>
      <c r="D148" s="301" t="n"/>
      <c r="E148" s="301" t="n"/>
      <c r="F148" s="301" t="n"/>
      <c r="G148" s="301" t="n"/>
      <c r="H148" s="301" t="n"/>
      <c r="I148" s="301" t="n"/>
      <c r="J148" s="301" t="n"/>
      <c r="K148" s="301" t="n"/>
      <c r="L148" s="301" t="n"/>
    </row>
    <row r="149" ht="15" customHeight="1" s="221">
      <c r="A149" s="301" t="n"/>
      <c r="B149" s="301" t="n"/>
      <c r="C149" s="301" t="n"/>
      <c r="D149" s="301" t="n"/>
      <c r="E149" s="301" t="n"/>
      <c r="F149" s="301" t="n"/>
      <c r="G149" s="301" t="n"/>
      <c r="H149" s="301" t="n"/>
      <c r="I149" s="301" t="n"/>
      <c r="J149" s="301" t="n"/>
      <c r="K149" s="301" t="n"/>
      <c r="L149" s="301" t="n"/>
    </row>
    <row r="150" ht="15" customHeight="1" s="221">
      <c r="A150" s="301" t="n"/>
      <c r="B150" s="301" t="n"/>
      <c r="C150" s="301" t="n"/>
      <c r="D150" s="301" t="n"/>
      <c r="E150" s="301" t="n"/>
      <c r="F150" s="301" t="n"/>
      <c r="G150" s="301" t="n"/>
      <c r="H150" s="301" t="n"/>
      <c r="I150" s="301" t="n"/>
      <c r="J150" s="301" t="n"/>
      <c r="K150" s="301" t="n"/>
      <c r="L150" s="301" t="n"/>
    </row>
  </sheetData>
  <mergeCells count="35">
    <mergeCell ref="G10:I10"/>
    <mergeCell ref="A8:D8"/>
    <mergeCell ref="A73:B73"/>
    <mergeCell ref="A62:D62"/>
    <mergeCell ref="G47:J47"/>
    <mergeCell ref="G54:J54"/>
    <mergeCell ref="A28:D28"/>
    <mergeCell ref="A26:C26"/>
    <mergeCell ref="G40:J40"/>
    <mergeCell ref="J77:K77"/>
    <mergeCell ref="A30:D30"/>
    <mergeCell ref="A51:D51"/>
    <mergeCell ref="A20:C20"/>
    <mergeCell ref="A3:B3"/>
    <mergeCell ref="G3:H3"/>
    <mergeCell ref="G67:J67"/>
    <mergeCell ref="A1:J1"/>
    <mergeCell ref="G8:J8"/>
    <mergeCell ref="G9:I9"/>
    <mergeCell ref="G65:H65"/>
    <mergeCell ref="D4:E4"/>
    <mergeCell ref="A41:D41"/>
    <mergeCell ref="G12:I12"/>
    <mergeCell ref="A17:B17"/>
    <mergeCell ref="D3:E3"/>
    <mergeCell ref="G64:H64"/>
    <mergeCell ref="G28:J28"/>
    <mergeCell ref="A4:B4"/>
    <mergeCell ref="G4:H4"/>
    <mergeCell ref="A72:B72"/>
    <mergeCell ref="A6:C6"/>
    <mergeCell ref="G34:J34"/>
    <mergeCell ref="G30:J30"/>
    <mergeCell ref="A9:B9"/>
    <mergeCell ref="G45:J45"/>
  </mergeCells>
  <conditionalFormatting sqref="B33:B200">
    <cfRule type="expression" rank="0" priority="2" equalAverage="0" aboveAverage="0" dxfId="0" text="" percent="0" bottom="0">
      <formula>$B33="Pagado"</formula>
    </cfRule>
    <cfRule type="expression" rank="0" priority="3" equalAverage="0" aboveAverage="0" dxfId="1" text="" percent="0" bottom="0">
      <formula>$B33="Pendiente"</formula>
    </cfRule>
    <cfRule type="expression" rank="0" priority="4" equalAverage="0" aboveAverage="0" dxfId="2" text="" percent="0" bottom="0">
      <formula>$B33="Cancelado"</formula>
    </cfRule>
  </conditionalFormatting>
  <dataValidations count="2">
    <dataValidation sqref="B33:B200" showDropDown="0" showInputMessage="0" showErrorMessage="0" allowBlank="1" type="list" errorStyle="stop" operator="between">
      <formula1>"Ninguno,Pendiente,Pagado,Cancelado"</formula1>
      <formula2>0</formula2>
    </dataValidation>
    <dataValidation sqref="H31:H62" showDropDown="0" showInputMessage="0" showErrorMessage="0" allowBlank="1" errorTitle="Estado inválido" error="Selecciona un estado válido" type="list">
      <formula1>"Ninguno,Pendiente,Pagado,Cancelado"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27AE60"/>
    <outlinePr summaryBelow="1" summaryRight="1"/>
    <pageSetUpPr fitToPage="0"/>
  </sheetPr>
  <dimension ref="A1:J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2" customWidth="1" style="220" min="1" max="2"/>
    <col width="18" customWidth="1" style="220" min="3" max="3"/>
    <col width="28" customWidth="1" style="220" min="4" max="4"/>
    <col width="14" customWidth="1" style="220" min="5" max="6"/>
    <col width="18" customWidth="1" style="220" min="7" max="8"/>
  </cols>
  <sheetData>
    <row r="1" ht="18" customHeight="1" s="221">
      <c r="A1" s="310" t="inlineStr">
        <is>
          <t>📋 REGISTRO DE MOVIMIENTOS - FEBRERO 2026</t>
        </is>
      </c>
      <c r="I1" s="301" t="n"/>
      <c r="J1" s="301" t="n"/>
    </row>
    <row r="2" ht="15" customHeight="1" s="221">
      <c r="A2" s="301" t="n"/>
      <c r="B2" s="301" t="n"/>
      <c r="C2" s="301" t="n"/>
      <c r="D2" s="301" t="n"/>
      <c r="E2" s="301" t="n"/>
      <c r="F2" s="301" t="n"/>
      <c r="G2" s="301" t="n"/>
      <c r="H2" s="301" t="n"/>
      <c r="I2" s="301" t="n"/>
      <c r="J2" s="301" t="n"/>
    </row>
    <row r="3" ht="15" customHeight="1" s="221">
      <c r="A3" s="311" t="inlineStr">
        <is>
          <t>Fecha</t>
        </is>
      </c>
      <c r="B3" s="312" t="inlineStr">
        <is>
          <t>Tipo</t>
        </is>
      </c>
      <c r="C3" s="312" t="inlineStr">
        <is>
          <t>Categoría</t>
        </is>
      </c>
      <c r="D3" s="311" t="inlineStr">
        <is>
          <t>Descripción</t>
        </is>
      </c>
      <c r="E3" s="311" t="inlineStr">
        <is>
          <t>Ingreso</t>
        </is>
      </c>
      <c r="F3" s="311" t="inlineStr">
        <is>
          <t>Egreso</t>
        </is>
      </c>
      <c r="G3" s="311" t="inlineStr">
        <is>
          <t>Cuenta</t>
        </is>
      </c>
      <c r="H3" s="311" t="inlineStr">
        <is>
          <t>Notas</t>
        </is>
      </c>
      <c r="I3" s="301" t="n"/>
      <c r="J3" s="301" t="n"/>
    </row>
    <row r="4" ht="15" customHeight="1" s="221">
      <c r="A4" s="313" t="n"/>
      <c r="B4" s="314" t="n"/>
      <c r="C4" s="315" t="n"/>
      <c r="D4" s="316" t="n"/>
      <c r="E4" s="317" t="n"/>
      <c r="F4" s="317" t="n"/>
      <c r="G4" s="318" t="n"/>
      <c r="H4" s="316" t="n"/>
      <c r="I4" s="301" t="n"/>
      <c r="J4" s="301" t="n"/>
    </row>
    <row r="5" ht="15" customHeight="1" s="221">
      <c r="A5" s="319" t="n"/>
      <c r="B5" s="320" t="n"/>
      <c r="C5" s="321" t="n"/>
      <c r="D5" s="322" t="n"/>
      <c r="E5" s="323" t="n"/>
      <c r="F5" s="323" t="n"/>
      <c r="G5" s="324" t="n"/>
      <c r="H5" s="322" t="n"/>
      <c r="I5" s="301" t="n"/>
      <c r="J5" s="301" t="n"/>
    </row>
    <row r="6" ht="15" customHeight="1" s="221">
      <c r="A6" s="313" t="n"/>
      <c r="B6" s="314" t="n"/>
      <c r="C6" s="315" t="n"/>
      <c r="D6" s="316" t="n"/>
      <c r="E6" s="317" t="n"/>
      <c r="F6" s="317" t="n"/>
      <c r="G6" s="318" t="n"/>
      <c r="H6" s="316" t="n"/>
      <c r="I6" s="301" t="n"/>
      <c r="J6" s="301" t="n"/>
    </row>
    <row r="7" ht="15" customHeight="1" s="221">
      <c r="A7" s="319" t="n"/>
      <c r="B7" s="320" t="n"/>
      <c r="C7" s="321" t="n"/>
      <c r="D7" s="322" t="n"/>
      <c r="E7" s="323" t="n"/>
      <c r="F7" s="323" t="n"/>
      <c r="G7" s="324" t="n"/>
      <c r="H7" s="322" t="n"/>
      <c r="I7" s="301" t="n"/>
      <c r="J7" s="301" t="n"/>
    </row>
    <row r="8" ht="15" customHeight="1" s="221">
      <c r="A8" s="313" t="n"/>
      <c r="B8" s="314" t="n"/>
      <c r="C8" s="315" t="n"/>
      <c r="D8" s="316" t="n"/>
      <c r="E8" s="317" t="n"/>
      <c r="F8" s="317" t="n"/>
      <c r="G8" s="318" t="n"/>
      <c r="H8" s="316" t="n"/>
      <c r="I8" s="301" t="n"/>
      <c r="J8" s="301" t="n"/>
    </row>
    <row r="9" ht="15" customHeight="1" s="221">
      <c r="A9" s="319" t="n"/>
      <c r="B9" s="320" t="n"/>
      <c r="C9" s="321" t="n"/>
      <c r="D9" s="322" t="n"/>
      <c r="E9" s="323" t="n"/>
      <c r="F9" s="323" t="n"/>
      <c r="G9" s="324" t="n"/>
      <c r="H9" s="322" t="n"/>
      <c r="I9" s="301" t="n"/>
      <c r="J9" s="301" t="n"/>
    </row>
    <row r="10" ht="15" customHeight="1" s="221">
      <c r="A10" s="313" t="n"/>
      <c r="B10" s="314" t="n"/>
      <c r="C10" s="315" t="n"/>
      <c r="D10" s="316" t="n"/>
      <c r="E10" s="317" t="n"/>
      <c r="F10" s="317" t="n"/>
      <c r="G10" s="318" t="n"/>
      <c r="H10" s="316" t="n"/>
      <c r="I10" s="301" t="n"/>
      <c r="J10" s="301" t="n"/>
    </row>
    <row r="11" ht="15" customHeight="1" s="221">
      <c r="A11" s="319" t="n"/>
      <c r="B11" s="320" t="n"/>
      <c r="C11" s="321" t="n"/>
      <c r="D11" s="322" t="n"/>
      <c r="E11" s="323" t="n"/>
      <c r="F11" s="323" t="n"/>
      <c r="G11" s="324" t="n"/>
      <c r="H11" s="322" t="n"/>
      <c r="I11" s="301" t="n"/>
      <c r="J11" s="301" t="n"/>
    </row>
    <row r="12" ht="15" customHeight="1" s="221">
      <c r="A12" s="313" t="n"/>
      <c r="B12" s="314" t="n"/>
      <c r="C12" s="315" t="n"/>
      <c r="D12" s="316" t="n"/>
      <c r="E12" s="317" t="n"/>
      <c r="F12" s="317" t="n"/>
      <c r="G12" s="318" t="n"/>
      <c r="H12" s="316" t="n"/>
      <c r="I12" s="301" t="n"/>
      <c r="J12" s="301" t="n"/>
    </row>
    <row r="13" ht="15" customHeight="1" s="221">
      <c r="A13" s="319" t="n"/>
      <c r="B13" s="320" t="n"/>
      <c r="C13" s="321" t="n"/>
      <c r="D13" s="322" t="n"/>
      <c r="E13" s="323" t="n"/>
      <c r="F13" s="323" t="n"/>
      <c r="G13" s="324" t="n"/>
      <c r="H13" s="322" t="n"/>
      <c r="I13" s="301" t="n"/>
      <c r="J13" s="301" t="n"/>
    </row>
    <row r="14" ht="15" customHeight="1" s="221">
      <c r="A14" s="313" t="n"/>
      <c r="B14" s="314" t="n"/>
      <c r="C14" s="315" t="n"/>
      <c r="D14" s="316" t="n"/>
      <c r="E14" s="317" t="n"/>
      <c r="F14" s="317" t="n"/>
      <c r="G14" s="318" t="n"/>
      <c r="H14" s="316" t="n"/>
      <c r="I14" s="301" t="n"/>
      <c r="J14" s="301" t="n"/>
    </row>
    <row r="15" ht="15" customHeight="1" s="221">
      <c r="A15" s="319" t="n"/>
      <c r="B15" s="320" t="n"/>
      <c r="C15" s="321" t="n"/>
      <c r="D15" s="322" t="n"/>
      <c r="E15" s="323" t="n"/>
      <c r="F15" s="323" t="n"/>
      <c r="G15" s="324" t="n"/>
      <c r="H15" s="322" t="n"/>
      <c r="I15" s="301" t="n"/>
      <c r="J15" s="301" t="n"/>
    </row>
    <row r="16" ht="15" customHeight="1" s="221">
      <c r="A16" s="313" t="n"/>
      <c r="B16" s="314" t="n"/>
      <c r="C16" s="315" t="n"/>
      <c r="D16" s="316" t="n"/>
      <c r="E16" s="317" t="n"/>
      <c r="F16" s="317" t="n"/>
      <c r="G16" s="318" t="n"/>
      <c r="H16" s="316" t="n"/>
      <c r="I16" s="301" t="n"/>
      <c r="J16" s="301" t="n"/>
    </row>
    <row r="17" ht="15" customHeight="1" s="221">
      <c r="A17" s="319" t="n"/>
      <c r="B17" s="320" t="n"/>
      <c r="C17" s="321" t="n"/>
      <c r="D17" s="322" t="n"/>
      <c r="E17" s="323" t="n"/>
      <c r="F17" s="323" t="n"/>
      <c r="G17" s="324" t="n"/>
      <c r="H17" s="322" t="n"/>
      <c r="I17" s="301" t="n"/>
      <c r="J17" s="301" t="n"/>
    </row>
    <row r="18" ht="15" customHeight="1" s="221">
      <c r="A18" s="313" t="n"/>
      <c r="B18" s="314" t="n"/>
      <c r="C18" s="315" t="n"/>
      <c r="D18" s="316" t="n"/>
      <c r="E18" s="317" t="n"/>
      <c r="F18" s="317" t="n"/>
      <c r="G18" s="318" t="n"/>
      <c r="H18" s="316" t="n"/>
      <c r="I18" s="301" t="n"/>
      <c r="J18" s="301" t="n"/>
    </row>
    <row r="19" ht="15" customHeight="1" s="221">
      <c r="A19" s="319" t="n"/>
      <c r="B19" s="320" t="n"/>
      <c r="C19" s="321" t="n"/>
      <c r="D19" s="322" t="n"/>
      <c r="E19" s="323" t="n"/>
      <c r="F19" s="323" t="n"/>
      <c r="G19" s="324" t="n"/>
      <c r="H19" s="322" t="n"/>
      <c r="I19" s="301" t="n"/>
      <c r="J19" s="301" t="n"/>
    </row>
    <row r="20" ht="15" customHeight="1" s="221">
      <c r="A20" s="313" t="n"/>
      <c r="B20" s="314" t="n"/>
      <c r="C20" s="315" t="n"/>
      <c r="D20" s="316" t="n"/>
      <c r="E20" s="317" t="n"/>
      <c r="F20" s="317" t="n"/>
      <c r="G20" s="318" t="n"/>
      <c r="H20" s="316" t="n"/>
      <c r="I20" s="301" t="n"/>
      <c r="J20" s="301" t="n"/>
    </row>
    <row r="21" ht="15" customHeight="1" s="221">
      <c r="A21" s="319" t="n"/>
      <c r="B21" s="320" t="n"/>
      <c r="C21" s="321" t="n"/>
      <c r="D21" s="322" t="n"/>
      <c r="E21" s="323" t="n"/>
      <c r="F21" s="323" t="n"/>
      <c r="G21" s="324" t="n"/>
      <c r="H21" s="322" t="n"/>
      <c r="I21" s="301" t="n"/>
      <c r="J21" s="301" t="n"/>
    </row>
    <row r="22" ht="15" customHeight="1" s="221">
      <c r="A22" s="313" t="n"/>
      <c r="B22" s="314" t="n"/>
      <c r="C22" s="315" t="n"/>
      <c r="D22" s="316" t="n"/>
      <c r="E22" s="317" t="n"/>
      <c r="F22" s="317" t="n"/>
      <c r="G22" s="318" t="n"/>
      <c r="H22" s="316" t="n"/>
      <c r="I22" s="301" t="n"/>
      <c r="J22" s="301" t="n"/>
    </row>
    <row r="23" ht="15" customHeight="1" s="221">
      <c r="A23" s="319" t="n"/>
      <c r="B23" s="320" t="n"/>
      <c r="C23" s="321" t="n"/>
      <c r="D23" s="322" t="n"/>
      <c r="E23" s="323" t="n"/>
      <c r="F23" s="323" t="n"/>
      <c r="G23" s="324" t="n"/>
      <c r="H23" s="322" t="n"/>
      <c r="I23" s="301" t="n"/>
      <c r="J23" s="301" t="n"/>
    </row>
    <row r="24" ht="15" customHeight="1" s="221">
      <c r="A24" s="313" t="n"/>
      <c r="B24" s="318" t="n"/>
      <c r="C24" s="315" t="n"/>
      <c r="D24" s="316" t="n"/>
      <c r="E24" s="317" t="n"/>
      <c r="F24" s="317" t="n"/>
      <c r="G24" s="318" t="n"/>
      <c r="H24" s="316" t="n"/>
      <c r="I24" s="301" t="n"/>
      <c r="J24" s="301" t="n"/>
    </row>
    <row r="25" ht="15" customHeight="1" s="221">
      <c r="A25" s="319" t="n"/>
      <c r="B25" s="324" t="n"/>
      <c r="C25" s="321" t="n"/>
      <c r="D25" s="322" t="n"/>
      <c r="E25" s="323" t="n"/>
      <c r="F25" s="323" t="n"/>
      <c r="G25" s="324" t="n"/>
      <c r="H25" s="322" t="n"/>
      <c r="I25" s="301" t="n"/>
      <c r="J25" s="301" t="n"/>
    </row>
    <row r="26" ht="15" customHeight="1" s="221">
      <c r="A26" s="313" t="n"/>
      <c r="B26" s="318" t="n"/>
      <c r="C26" s="315" t="n"/>
      <c r="D26" s="316" t="n"/>
      <c r="E26" s="317" t="n"/>
      <c r="F26" s="317" t="n"/>
      <c r="G26" s="318" t="n"/>
      <c r="H26" s="316" t="n"/>
      <c r="I26" s="301" t="n"/>
      <c r="J26" s="301" t="n"/>
    </row>
    <row r="27" ht="15" customHeight="1" s="221">
      <c r="A27" s="319" t="n"/>
      <c r="B27" s="324" t="n"/>
      <c r="C27" s="321" t="n"/>
      <c r="D27" s="322" t="n"/>
      <c r="E27" s="323" t="n"/>
      <c r="F27" s="323" t="n"/>
      <c r="G27" s="324" t="n"/>
      <c r="H27" s="322" t="n"/>
      <c r="I27" s="301" t="n"/>
      <c r="J27" s="301" t="n"/>
    </row>
    <row r="28" ht="15" customHeight="1" s="221">
      <c r="A28" s="313" t="n"/>
      <c r="B28" s="318" t="n"/>
      <c r="C28" s="315" t="n"/>
      <c r="D28" s="316" t="n"/>
      <c r="E28" s="317" t="n"/>
      <c r="F28" s="317" t="n"/>
      <c r="G28" s="318" t="n"/>
      <c r="H28" s="316" t="n"/>
      <c r="I28" s="301" t="n"/>
      <c r="J28" s="301" t="n"/>
    </row>
    <row r="29" ht="15" customHeight="1" s="221">
      <c r="A29" s="319" t="n"/>
      <c r="B29" s="324" t="n"/>
      <c r="C29" s="321" t="n"/>
      <c r="D29" s="322" t="n"/>
      <c r="E29" s="323" t="n"/>
      <c r="F29" s="323" t="n"/>
      <c r="G29" s="324" t="n"/>
      <c r="H29" s="322" t="n"/>
      <c r="I29" s="301" t="n"/>
      <c r="J29" s="301" t="n"/>
    </row>
    <row r="30" ht="15" customHeight="1" s="221">
      <c r="A30" s="313" t="n"/>
      <c r="B30" s="318" t="n"/>
      <c r="C30" s="315" t="n"/>
      <c r="D30" s="316" t="n"/>
      <c r="E30" s="317" t="n"/>
      <c r="F30" s="317" t="n"/>
      <c r="G30" s="318" t="n"/>
      <c r="H30" s="316" t="n"/>
      <c r="I30" s="301" t="n"/>
      <c r="J30" s="301" t="n"/>
    </row>
    <row r="31" ht="15" customHeight="1" s="221">
      <c r="A31" s="319" t="n"/>
      <c r="B31" s="324" t="n"/>
      <c r="C31" s="321" t="n"/>
      <c r="D31" s="322" t="n"/>
      <c r="E31" s="323" t="n"/>
      <c r="F31" s="323" t="n"/>
      <c r="G31" s="324" t="n"/>
      <c r="H31" s="322" t="n"/>
      <c r="I31" s="301" t="n"/>
      <c r="J31" s="301" t="n"/>
    </row>
    <row r="32" ht="15" customHeight="1" s="221">
      <c r="A32" s="313" t="n"/>
      <c r="B32" s="318" t="n"/>
      <c r="C32" s="315" t="n"/>
      <c r="D32" s="316" t="n"/>
      <c r="E32" s="317" t="n"/>
      <c r="F32" s="317" t="n"/>
      <c r="G32" s="318" t="n"/>
      <c r="H32" s="316" t="n"/>
      <c r="I32" s="301" t="n"/>
      <c r="J32" s="301" t="n"/>
    </row>
    <row r="33" ht="15" customHeight="1" s="221">
      <c r="A33" s="319" t="n"/>
      <c r="B33" s="324" t="n"/>
      <c r="C33" s="321" t="n"/>
      <c r="D33" s="322" t="n"/>
      <c r="E33" s="323" t="n"/>
      <c r="F33" s="323" t="n"/>
      <c r="G33" s="324" t="n"/>
      <c r="H33" s="322" t="n"/>
      <c r="I33" s="301" t="n"/>
      <c r="J33" s="301" t="n"/>
    </row>
    <row r="34" ht="15" customHeight="1" s="221">
      <c r="A34" s="313" t="n"/>
      <c r="B34" s="318" t="n"/>
      <c r="C34" s="315" t="n"/>
      <c r="D34" s="316" t="n"/>
      <c r="E34" s="317" t="n"/>
      <c r="F34" s="317" t="n"/>
      <c r="G34" s="318" t="n"/>
      <c r="H34" s="316" t="n"/>
      <c r="I34" s="301" t="n"/>
      <c r="J34" s="301" t="n"/>
    </row>
    <row r="35" ht="15" customHeight="1" s="221">
      <c r="A35" s="319" t="n"/>
      <c r="B35" s="324" t="n"/>
      <c r="C35" s="322" t="n"/>
      <c r="D35" s="322" t="n"/>
      <c r="E35" s="323" t="n"/>
      <c r="F35" s="323" t="n"/>
      <c r="G35" s="324" t="n"/>
      <c r="H35" s="322" t="n"/>
      <c r="I35" s="301" t="n"/>
      <c r="J35" s="301" t="n"/>
    </row>
    <row r="36" ht="15" customHeight="1" s="221">
      <c r="A36" s="313" t="n"/>
      <c r="B36" s="318" t="n"/>
      <c r="C36" s="316" t="n"/>
      <c r="D36" s="316" t="n"/>
      <c r="E36" s="317" t="n"/>
      <c r="F36" s="317" t="n"/>
      <c r="G36" s="318" t="n"/>
      <c r="H36" s="316" t="n"/>
      <c r="I36" s="301" t="n"/>
      <c r="J36" s="301" t="n"/>
    </row>
    <row r="37" ht="15" customHeight="1" s="221">
      <c r="A37" s="319" t="n"/>
      <c r="B37" s="324" t="n"/>
      <c r="C37" s="322" t="n"/>
      <c r="D37" s="322" t="n"/>
      <c r="E37" s="323" t="n"/>
      <c r="F37" s="323" t="n"/>
      <c r="G37" s="324" t="n"/>
      <c r="H37" s="322" t="n"/>
      <c r="I37" s="301" t="n"/>
      <c r="J37" s="301" t="n"/>
    </row>
    <row r="38" ht="15" customHeight="1" s="221">
      <c r="A38" s="313" t="n"/>
      <c r="B38" s="318" t="n"/>
      <c r="C38" s="316" t="n"/>
      <c r="D38" s="316" t="n"/>
      <c r="E38" s="317" t="n"/>
      <c r="F38" s="317" t="n"/>
      <c r="G38" s="318" t="n"/>
      <c r="H38" s="316" t="n"/>
      <c r="I38" s="301" t="n"/>
      <c r="J38" s="301" t="n"/>
    </row>
    <row r="39" ht="15" customHeight="1" s="221">
      <c r="A39" s="319" t="n"/>
      <c r="B39" s="324" t="n"/>
      <c r="C39" s="322" t="n"/>
      <c r="D39" s="322" t="n"/>
      <c r="E39" s="323" t="n"/>
      <c r="F39" s="323" t="n"/>
      <c r="G39" s="324" t="n"/>
      <c r="H39" s="322" t="n"/>
      <c r="I39" s="301" t="n"/>
      <c r="J39" s="301" t="n"/>
    </row>
    <row r="40" ht="15" customHeight="1" s="221">
      <c r="A40" s="313" t="n"/>
      <c r="B40" s="318" t="n"/>
      <c r="C40" s="316" t="n"/>
      <c r="D40" s="316" t="n"/>
      <c r="E40" s="317" t="n"/>
      <c r="F40" s="317" t="n"/>
      <c r="G40" s="318" t="n"/>
      <c r="H40" s="316" t="n"/>
      <c r="I40" s="301" t="n"/>
      <c r="J40" s="301" t="n"/>
    </row>
    <row r="41" ht="15" customHeight="1" s="221">
      <c r="A41" s="319" t="n"/>
      <c r="B41" s="324" t="n"/>
      <c r="C41" s="322" t="n"/>
      <c r="D41" s="322" t="n"/>
      <c r="E41" s="323" t="n"/>
      <c r="F41" s="323" t="n"/>
      <c r="G41" s="324" t="n"/>
      <c r="H41" s="322" t="n"/>
      <c r="I41" s="301" t="n"/>
      <c r="J41" s="301" t="n"/>
    </row>
    <row r="42" ht="15" customHeight="1" s="221">
      <c r="A42" s="313" t="n"/>
      <c r="B42" s="318" t="n"/>
      <c r="C42" s="316" t="n"/>
      <c r="D42" s="316" t="n"/>
      <c r="E42" s="317" t="n"/>
      <c r="F42" s="317" t="n"/>
      <c r="G42" s="318" t="n"/>
      <c r="H42" s="316" t="n"/>
      <c r="I42" s="301" t="n"/>
      <c r="J42" s="301" t="n"/>
    </row>
    <row r="43" ht="15" customHeight="1" s="221">
      <c r="A43" s="319" t="n"/>
      <c r="B43" s="324" t="n"/>
      <c r="C43" s="322" t="n"/>
      <c r="D43" s="322" t="n"/>
      <c r="E43" s="323" t="n"/>
      <c r="F43" s="323" t="n"/>
      <c r="G43" s="324" t="n"/>
      <c r="H43" s="322" t="n"/>
      <c r="I43" s="301" t="n"/>
      <c r="J43" s="301" t="n"/>
    </row>
    <row r="44" ht="15" customHeight="1" s="221">
      <c r="A44" s="313" t="n"/>
      <c r="B44" s="318" t="n"/>
      <c r="C44" s="316" t="n"/>
      <c r="D44" s="316" t="n"/>
      <c r="E44" s="317" t="n"/>
      <c r="F44" s="317" t="n"/>
      <c r="G44" s="318" t="n"/>
      <c r="H44" s="316" t="n"/>
      <c r="I44" s="301" t="n"/>
      <c r="J44" s="301" t="n"/>
    </row>
    <row r="45" ht="15" customHeight="1" s="221">
      <c r="A45" s="319" t="n"/>
      <c r="B45" s="324" t="n"/>
      <c r="C45" s="322" t="n"/>
      <c r="D45" s="322" t="n"/>
      <c r="E45" s="323" t="n"/>
      <c r="F45" s="323" t="n"/>
      <c r="G45" s="324" t="n"/>
      <c r="H45" s="322" t="n"/>
      <c r="I45" s="301" t="n"/>
      <c r="J45" s="301" t="n"/>
    </row>
    <row r="46" ht="15" customHeight="1" s="221">
      <c r="A46" s="313" t="n"/>
      <c r="B46" s="318" t="n"/>
      <c r="C46" s="316" t="n"/>
      <c r="D46" s="316" t="n"/>
      <c r="E46" s="317" t="n"/>
      <c r="F46" s="317" t="n"/>
      <c r="G46" s="318" t="n"/>
      <c r="H46" s="316" t="n"/>
      <c r="I46" s="301" t="n"/>
      <c r="J46" s="301" t="n"/>
    </row>
    <row r="47" ht="15" customHeight="1" s="221">
      <c r="A47" s="319" t="n"/>
      <c r="B47" s="324" t="n"/>
      <c r="C47" s="322" t="n"/>
      <c r="D47" s="322" t="n"/>
      <c r="E47" s="323" t="n"/>
      <c r="F47" s="323" t="n"/>
      <c r="G47" s="324" t="n"/>
      <c r="H47" s="322" t="n"/>
      <c r="I47" s="301" t="n"/>
      <c r="J47" s="301" t="n"/>
    </row>
    <row r="48" ht="15" customHeight="1" s="221">
      <c r="A48" s="313" t="n"/>
      <c r="B48" s="318" t="n"/>
      <c r="C48" s="316" t="n"/>
      <c r="D48" s="316" t="n"/>
      <c r="E48" s="317" t="n"/>
      <c r="F48" s="317" t="n"/>
      <c r="G48" s="318" t="n"/>
      <c r="H48" s="316" t="n"/>
      <c r="I48" s="301" t="n"/>
      <c r="J48" s="301" t="n"/>
    </row>
    <row r="49" ht="15" customHeight="1" s="221">
      <c r="A49" s="319" t="n"/>
      <c r="B49" s="324" t="n"/>
      <c r="C49" s="322" t="n"/>
      <c r="D49" s="322" t="n"/>
      <c r="E49" s="323" t="n"/>
      <c r="F49" s="323" t="n"/>
      <c r="G49" s="324" t="n"/>
      <c r="H49" s="322" t="n"/>
      <c r="I49" s="301" t="n"/>
      <c r="J49" s="301" t="n"/>
    </row>
    <row r="50" ht="15" customHeight="1" s="221">
      <c r="A50" s="313" t="n"/>
      <c r="B50" s="318" t="n"/>
      <c r="C50" s="316" t="n"/>
      <c r="D50" s="316" t="n"/>
      <c r="E50" s="317" t="n"/>
      <c r="F50" s="317" t="n"/>
      <c r="G50" s="318" t="n"/>
      <c r="H50" s="316" t="n"/>
      <c r="I50" s="301" t="n"/>
      <c r="J50" s="301" t="n"/>
    </row>
    <row r="51" ht="15" customHeight="1" s="221">
      <c r="A51" s="319" t="n"/>
      <c r="B51" s="324" t="n"/>
      <c r="C51" s="322" t="n"/>
      <c r="D51" s="322" t="n"/>
      <c r="E51" s="323" t="n"/>
      <c r="F51" s="323" t="n"/>
      <c r="G51" s="324" t="n"/>
      <c r="H51" s="322" t="n"/>
      <c r="I51" s="301" t="n"/>
      <c r="J51" s="301" t="n"/>
    </row>
    <row r="52" ht="15" customHeight="1" s="221">
      <c r="A52" s="313" t="n"/>
      <c r="B52" s="318" t="n"/>
      <c r="C52" s="316" t="n"/>
      <c r="D52" s="316" t="n"/>
      <c r="E52" s="317" t="n"/>
      <c r="F52" s="317" t="n"/>
      <c r="G52" s="318" t="n"/>
      <c r="H52" s="316" t="n"/>
      <c r="I52" s="301" t="n"/>
      <c r="J52" s="301" t="n"/>
    </row>
    <row r="53" ht="15" customHeight="1" s="221">
      <c r="A53" s="319" t="n"/>
      <c r="B53" s="324" t="n"/>
      <c r="C53" s="322" t="n"/>
      <c r="D53" s="322" t="n"/>
      <c r="E53" s="323" t="n"/>
      <c r="F53" s="323" t="n"/>
      <c r="G53" s="324" t="n"/>
      <c r="H53" s="322" t="n"/>
      <c r="I53" s="301" t="n"/>
      <c r="J53" s="301" t="n"/>
    </row>
    <row r="54" ht="15" customHeight="1" s="221">
      <c r="A54" s="313" t="n"/>
      <c r="B54" s="318" t="n"/>
      <c r="C54" s="316" t="n"/>
      <c r="D54" s="316" t="n"/>
      <c r="E54" s="317" t="n"/>
      <c r="F54" s="317" t="n"/>
      <c r="G54" s="318" t="n"/>
      <c r="H54" s="316" t="n"/>
      <c r="I54" s="301" t="n"/>
      <c r="J54" s="301" t="n"/>
    </row>
    <row r="55" ht="15" customHeight="1" s="221">
      <c r="A55" s="319" t="n"/>
      <c r="B55" s="324" t="n"/>
      <c r="C55" s="322" t="n"/>
      <c r="D55" s="322" t="n"/>
      <c r="E55" s="323" t="n"/>
      <c r="F55" s="323" t="n"/>
      <c r="G55" s="324" t="n"/>
      <c r="H55" s="322" t="n"/>
      <c r="I55" s="301" t="n"/>
      <c r="J55" s="301" t="n"/>
    </row>
    <row r="56" ht="15" customHeight="1" s="221">
      <c r="A56" s="313" t="n"/>
      <c r="B56" s="318" t="n"/>
      <c r="C56" s="316" t="n"/>
      <c r="D56" s="316" t="n"/>
      <c r="E56" s="317" t="n"/>
      <c r="F56" s="317" t="n"/>
      <c r="G56" s="318" t="n"/>
      <c r="H56" s="316" t="n"/>
      <c r="I56" s="301" t="n"/>
      <c r="J56" s="301" t="n"/>
    </row>
    <row r="57" ht="15" customHeight="1" s="221">
      <c r="A57" s="319" t="n"/>
      <c r="B57" s="324" t="n"/>
      <c r="C57" s="322" t="n"/>
      <c r="D57" s="322" t="n"/>
      <c r="E57" s="323" t="n"/>
      <c r="F57" s="323" t="n"/>
      <c r="G57" s="324" t="n"/>
      <c r="H57" s="322" t="n"/>
      <c r="I57" s="301" t="n"/>
      <c r="J57" s="301" t="n"/>
    </row>
    <row r="58" ht="15" customHeight="1" s="221">
      <c r="A58" s="313" t="n"/>
      <c r="B58" s="318" t="n"/>
      <c r="C58" s="316" t="n"/>
      <c r="D58" s="316" t="n"/>
      <c r="E58" s="317" t="n"/>
      <c r="F58" s="317" t="n"/>
      <c r="G58" s="318" t="n"/>
      <c r="H58" s="316" t="n"/>
      <c r="I58" s="301" t="n"/>
      <c r="J58" s="301" t="n"/>
    </row>
    <row r="59" ht="15" customHeight="1" s="221">
      <c r="A59" s="319" t="n"/>
      <c r="B59" s="324" t="n"/>
      <c r="C59" s="322" t="n"/>
      <c r="D59" s="322" t="n"/>
      <c r="E59" s="323" t="n"/>
      <c r="F59" s="323" t="n"/>
      <c r="G59" s="324" t="n"/>
      <c r="H59" s="322" t="n"/>
      <c r="I59" s="301" t="n"/>
      <c r="J59" s="301" t="n"/>
    </row>
    <row r="60" ht="15" customHeight="1" s="221">
      <c r="A60" s="313" t="n"/>
      <c r="B60" s="318" t="n"/>
      <c r="C60" s="316" t="n"/>
      <c r="D60" s="316" t="n"/>
      <c r="E60" s="317" t="n"/>
      <c r="F60" s="317" t="n"/>
      <c r="G60" s="318" t="n"/>
      <c r="H60" s="316" t="n"/>
      <c r="I60" s="301" t="n"/>
      <c r="J60" s="301" t="n"/>
    </row>
    <row r="61" ht="15" customHeight="1" s="221">
      <c r="A61" s="319" t="n"/>
      <c r="B61" s="324" t="n"/>
      <c r="C61" s="322" t="n"/>
      <c r="D61" s="322" t="n"/>
      <c r="E61" s="323" t="n"/>
      <c r="F61" s="323" t="n"/>
      <c r="G61" s="324" t="n"/>
      <c r="H61" s="322" t="n"/>
      <c r="I61" s="301" t="n"/>
      <c r="J61" s="301" t="n"/>
    </row>
    <row r="62" ht="15" customHeight="1" s="221">
      <c r="A62" s="313" t="n"/>
      <c r="B62" s="318" t="n"/>
      <c r="C62" s="316" t="n"/>
      <c r="D62" s="316" t="n"/>
      <c r="E62" s="317" t="n"/>
      <c r="F62" s="317" t="n"/>
      <c r="G62" s="318" t="n"/>
      <c r="H62" s="316" t="n"/>
      <c r="I62" s="301" t="n"/>
      <c r="J62" s="301" t="n"/>
    </row>
    <row r="63" ht="15" customHeight="1" s="221">
      <c r="A63" s="319" t="n"/>
      <c r="B63" s="324" t="n"/>
      <c r="C63" s="322" t="n"/>
      <c r="D63" s="322" t="n"/>
      <c r="E63" s="323" t="n"/>
      <c r="F63" s="323" t="n"/>
      <c r="G63" s="324" t="n"/>
      <c r="H63" s="322" t="n"/>
      <c r="I63" s="301" t="n"/>
      <c r="J63" s="301" t="n"/>
    </row>
    <row r="64" ht="15" customHeight="1" s="221">
      <c r="A64" s="313" t="n"/>
      <c r="B64" s="318" t="n"/>
      <c r="C64" s="316" t="n"/>
      <c r="D64" s="316" t="n"/>
      <c r="E64" s="317" t="n"/>
      <c r="F64" s="317" t="n"/>
      <c r="G64" s="318" t="n"/>
      <c r="H64" s="316" t="n"/>
      <c r="I64" s="301" t="n"/>
      <c r="J64" s="301" t="n"/>
    </row>
    <row r="65" ht="15" customHeight="1" s="221">
      <c r="A65" s="319" t="n"/>
      <c r="B65" s="324" t="n"/>
      <c r="C65" s="322" t="n"/>
      <c r="D65" s="322" t="n"/>
      <c r="E65" s="323" t="n"/>
      <c r="F65" s="323" t="n"/>
      <c r="G65" s="324" t="n"/>
      <c r="H65" s="322" t="n"/>
      <c r="I65" s="301" t="n"/>
      <c r="J65" s="301" t="n"/>
    </row>
    <row r="66" ht="15" customHeight="1" s="221">
      <c r="A66" s="313" t="n"/>
      <c r="B66" s="318" t="n"/>
      <c r="C66" s="316" t="n"/>
      <c r="D66" s="316" t="n"/>
      <c r="E66" s="317" t="n"/>
      <c r="F66" s="317" t="n"/>
      <c r="G66" s="318" t="n"/>
      <c r="H66" s="316" t="n"/>
      <c r="I66" s="301" t="n"/>
      <c r="J66" s="301" t="n"/>
    </row>
    <row r="67" ht="15" customHeight="1" s="221">
      <c r="A67" s="319" t="n"/>
      <c r="B67" s="324" t="n"/>
      <c r="C67" s="322" t="n"/>
      <c r="D67" s="322" t="n"/>
      <c r="E67" s="323" t="n"/>
      <c r="F67" s="323" t="n"/>
      <c r="G67" s="324" t="n"/>
      <c r="H67" s="322" t="n"/>
      <c r="I67" s="301" t="n"/>
      <c r="J67" s="301" t="n"/>
    </row>
    <row r="68" ht="15" customHeight="1" s="221">
      <c r="A68" s="313" t="n"/>
      <c r="B68" s="318" t="n"/>
      <c r="C68" s="316" t="n"/>
      <c r="D68" s="316" t="n"/>
      <c r="E68" s="317" t="n"/>
      <c r="F68" s="317" t="n"/>
      <c r="G68" s="318" t="n"/>
      <c r="H68" s="316" t="n"/>
      <c r="I68" s="301" t="n"/>
      <c r="J68" s="301" t="n"/>
    </row>
    <row r="69" ht="15" customHeight="1" s="221">
      <c r="A69" s="319" t="n"/>
      <c r="B69" s="324" t="n"/>
      <c r="C69" s="322" t="n"/>
      <c r="D69" s="322" t="n"/>
      <c r="E69" s="323" t="n"/>
      <c r="F69" s="323" t="n"/>
      <c r="G69" s="324" t="n"/>
      <c r="H69" s="322" t="n"/>
      <c r="I69" s="301" t="n"/>
      <c r="J69" s="301" t="n"/>
    </row>
    <row r="70" ht="15" customHeight="1" s="221">
      <c r="A70" s="313" t="n"/>
      <c r="B70" s="318" t="n"/>
      <c r="C70" s="316" t="n"/>
      <c r="D70" s="316" t="n"/>
      <c r="E70" s="317" t="n"/>
      <c r="F70" s="317" t="n"/>
      <c r="G70" s="318" t="n"/>
      <c r="H70" s="316" t="n"/>
      <c r="I70" s="301" t="n"/>
      <c r="J70" s="301" t="n"/>
    </row>
    <row r="71" ht="15" customHeight="1" s="221">
      <c r="A71" s="319" t="n"/>
      <c r="B71" s="324" t="n"/>
      <c r="C71" s="322" t="n"/>
      <c r="D71" s="322" t="n"/>
      <c r="E71" s="323" t="n"/>
      <c r="F71" s="323" t="n"/>
      <c r="G71" s="324" t="n"/>
      <c r="H71" s="322" t="n"/>
      <c r="I71" s="301" t="n"/>
      <c r="J71" s="301" t="n"/>
    </row>
    <row r="72" ht="15" customHeight="1" s="221">
      <c r="A72" s="313" t="n"/>
      <c r="B72" s="318" t="n"/>
      <c r="C72" s="316" t="n"/>
      <c r="D72" s="316" t="n"/>
      <c r="E72" s="317" t="n"/>
      <c r="F72" s="317" t="n"/>
      <c r="G72" s="318" t="n"/>
      <c r="H72" s="316" t="n"/>
      <c r="I72" s="301" t="n"/>
      <c r="J72" s="301" t="n"/>
    </row>
    <row r="73" ht="15" customHeight="1" s="221">
      <c r="A73" s="319" t="n"/>
      <c r="B73" s="324" t="n"/>
      <c r="C73" s="322" t="n"/>
      <c r="D73" s="322" t="n"/>
      <c r="E73" s="323" t="n"/>
      <c r="F73" s="323" t="n"/>
      <c r="G73" s="324" t="n"/>
      <c r="H73" s="322" t="n"/>
      <c r="I73" s="301" t="n"/>
      <c r="J73" s="301" t="n"/>
    </row>
    <row r="74" ht="15" customHeight="1" s="221">
      <c r="A74" s="313" t="n"/>
      <c r="B74" s="318" t="n"/>
      <c r="C74" s="316" t="n"/>
      <c r="D74" s="316" t="n"/>
      <c r="E74" s="317" t="n"/>
      <c r="F74" s="317" t="n"/>
      <c r="G74" s="318" t="n"/>
      <c r="H74" s="316" t="n"/>
      <c r="I74" s="301" t="n"/>
      <c r="J74" s="301" t="n"/>
    </row>
    <row r="75" ht="15" customHeight="1" s="221">
      <c r="A75" s="319" t="n"/>
      <c r="B75" s="324" t="n"/>
      <c r="C75" s="322" t="n"/>
      <c r="D75" s="322" t="n"/>
      <c r="E75" s="323" t="n"/>
      <c r="F75" s="323" t="n"/>
      <c r="G75" s="324" t="n"/>
      <c r="H75" s="322" t="n"/>
      <c r="I75" s="301" t="n"/>
      <c r="J75" s="301" t="n"/>
    </row>
    <row r="76" ht="15" customHeight="1" s="221">
      <c r="A76" s="313" t="n"/>
      <c r="B76" s="318" t="n"/>
      <c r="C76" s="316" t="n"/>
      <c r="D76" s="316" t="n"/>
      <c r="E76" s="317" t="n"/>
      <c r="F76" s="317" t="n"/>
      <c r="G76" s="318" t="n"/>
      <c r="H76" s="316" t="n"/>
      <c r="I76" s="301" t="n"/>
      <c r="J76" s="301" t="n"/>
    </row>
    <row r="77" ht="15" customHeight="1" s="221">
      <c r="A77" s="319" t="n"/>
      <c r="B77" s="324" t="n"/>
      <c r="C77" s="322" t="n"/>
      <c r="D77" s="322" t="n"/>
      <c r="E77" s="323" t="n"/>
      <c r="F77" s="323" t="n"/>
      <c r="G77" s="324" t="n"/>
      <c r="H77" s="322" t="n"/>
      <c r="I77" s="301" t="n"/>
      <c r="J77" s="301" t="n"/>
    </row>
    <row r="78" ht="15" customHeight="1" s="221">
      <c r="A78" s="313" t="n"/>
      <c r="B78" s="318" t="n"/>
      <c r="C78" s="316" t="n"/>
      <c r="D78" s="316" t="n"/>
      <c r="E78" s="317" t="n"/>
      <c r="F78" s="317" t="n"/>
      <c r="G78" s="318" t="n"/>
      <c r="H78" s="316" t="n"/>
      <c r="I78" s="301" t="n"/>
      <c r="J78" s="301" t="n"/>
    </row>
    <row r="79" ht="15" customHeight="1" s="221">
      <c r="A79" s="319" t="n"/>
      <c r="B79" s="324" t="n"/>
      <c r="C79" s="322" t="n"/>
      <c r="D79" s="322" t="n"/>
      <c r="E79" s="323" t="n"/>
      <c r="F79" s="323" t="n"/>
      <c r="G79" s="324" t="n"/>
      <c r="H79" s="322" t="n"/>
      <c r="I79" s="301" t="n"/>
      <c r="J79" s="301" t="n"/>
    </row>
    <row r="80" ht="15" customHeight="1" s="221">
      <c r="A80" s="313" t="n"/>
      <c r="B80" s="318" t="n"/>
      <c r="C80" s="316" t="n"/>
      <c r="D80" s="316" t="n"/>
      <c r="E80" s="317" t="n"/>
      <c r="F80" s="317" t="n"/>
      <c r="G80" s="318" t="n"/>
      <c r="H80" s="316" t="n"/>
      <c r="I80" s="301" t="n"/>
      <c r="J80" s="301" t="n"/>
    </row>
    <row r="81" ht="15" customHeight="1" s="221">
      <c r="A81" s="319" t="n"/>
      <c r="B81" s="324" t="n"/>
      <c r="C81" s="322" t="n"/>
      <c r="D81" s="322" t="n"/>
      <c r="E81" s="323" t="n"/>
      <c r="F81" s="323" t="n"/>
      <c r="G81" s="324" t="n"/>
      <c r="H81" s="322" t="n"/>
      <c r="I81" s="301" t="n"/>
      <c r="J81" s="301" t="n"/>
    </row>
    <row r="82" ht="15" customHeight="1" s="221">
      <c r="A82" s="313" t="n"/>
      <c r="B82" s="318" t="n"/>
      <c r="C82" s="316" t="n"/>
      <c r="D82" s="316" t="n"/>
      <c r="E82" s="317" t="n"/>
      <c r="F82" s="317" t="n"/>
      <c r="G82" s="318" t="n"/>
      <c r="H82" s="316" t="n"/>
      <c r="I82" s="301" t="n"/>
      <c r="J82" s="301" t="n"/>
    </row>
    <row r="83" ht="15" customHeight="1" s="221">
      <c r="A83" s="319" t="n"/>
      <c r="B83" s="324" t="n"/>
      <c r="C83" s="322" t="n"/>
      <c r="D83" s="322" t="n"/>
      <c r="E83" s="323" t="n"/>
      <c r="F83" s="323" t="n"/>
      <c r="G83" s="324" t="n"/>
      <c r="H83" s="322" t="n"/>
      <c r="I83" s="301" t="n"/>
      <c r="J83" s="301" t="n"/>
    </row>
    <row r="84" ht="15" customHeight="1" s="221">
      <c r="A84" s="313" t="n"/>
      <c r="B84" s="318" t="n"/>
      <c r="C84" s="316" t="n"/>
      <c r="D84" s="316" t="n"/>
      <c r="E84" s="317" t="n"/>
      <c r="F84" s="317" t="n"/>
      <c r="G84" s="318" t="n"/>
      <c r="H84" s="316" t="n"/>
      <c r="I84" s="301" t="n"/>
      <c r="J84" s="301" t="n"/>
    </row>
    <row r="85" ht="15" customHeight="1" s="221">
      <c r="A85" s="319" t="n"/>
      <c r="B85" s="324" t="n"/>
      <c r="C85" s="322" t="n"/>
      <c r="D85" s="322" t="n"/>
      <c r="E85" s="323" t="n"/>
      <c r="F85" s="323" t="n"/>
      <c r="G85" s="324" t="n"/>
      <c r="H85" s="322" t="n"/>
      <c r="I85" s="301" t="n"/>
      <c r="J85" s="301" t="n"/>
    </row>
    <row r="86" ht="15" customHeight="1" s="221">
      <c r="A86" s="313" t="n"/>
      <c r="B86" s="318" t="n"/>
      <c r="C86" s="316" t="n"/>
      <c r="D86" s="316" t="n"/>
      <c r="E86" s="317" t="n"/>
      <c r="F86" s="317" t="n"/>
      <c r="G86" s="318" t="n"/>
      <c r="H86" s="316" t="n"/>
      <c r="I86" s="301" t="n"/>
      <c r="J86" s="301" t="n"/>
    </row>
    <row r="87" ht="15" customHeight="1" s="221">
      <c r="A87" s="319" t="n"/>
      <c r="B87" s="324" t="n"/>
      <c r="C87" s="322" t="n"/>
      <c r="D87" s="322" t="n"/>
      <c r="E87" s="323" t="n"/>
      <c r="F87" s="323" t="n"/>
      <c r="G87" s="324" t="n"/>
      <c r="H87" s="322" t="n"/>
      <c r="I87" s="301" t="n"/>
      <c r="J87" s="301" t="n"/>
    </row>
    <row r="88" ht="15" customHeight="1" s="221">
      <c r="A88" s="313" t="n"/>
      <c r="B88" s="318" t="n"/>
      <c r="C88" s="316" t="n"/>
      <c r="D88" s="316" t="n"/>
      <c r="E88" s="317" t="n"/>
      <c r="F88" s="317" t="n"/>
      <c r="G88" s="318" t="n"/>
      <c r="H88" s="316" t="n"/>
      <c r="I88" s="301" t="n"/>
      <c r="J88" s="301" t="n"/>
    </row>
    <row r="89" ht="15" customHeight="1" s="221">
      <c r="A89" s="319" t="n"/>
      <c r="B89" s="324" t="n"/>
      <c r="C89" s="322" t="n"/>
      <c r="D89" s="322" t="n"/>
      <c r="E89" s="323" t="n"/>
      <c r="F89" s="323" t="n"/>
      <c r="G89" s="324" t="n"/>
      <c r="H89" s="322" t="n"/>
      <c r="I89" s="301" t="n"/>
      <c r="J89" s="301" t="n"/>
    </row>
    <row r="90" ht="15" customHeight="1" s="221">
      <c r="A90" s="313" t="n"/>
      <c r="B90" s="318" t="n"/>
      <c r="C90" s="316" t="n"/>
      <c r="D90" s="316" t="n"/>
      <c r="E90" s="317" t="n"/>
      <c r="F90" s="317" t="n"/>
      <c r="G90" s="318" t="n"/>
      <c r="H90" s="316" t="n"/>
      <c r="I90" s="301" t="n"/>
      <c r="J90" s="301" t="n"/>
    </row>
    <row r="91" ht="15" customHeight="1" s="221">
      <c r="A91" s="319" t="n"/>
      <c r="B91" s="324" t="n"/>
      <c r="C91" s="322" t="n"/>
      <c r="D91" s="322" t="n"/>
      <c r="E91" s="323" t="n"/>
      <c r="F91" s="323" t="n"/>
      <c r="G91" s="324" t="n"/>
      <c r="H91" s="322" t="n"/>
      <c r="I91" s="301" t="n"/>
      <c r="J91" s="301" t="n"/>
    </row>
    <row r="92" ht="15" customHeight="1" s="221">
      <c r="A92" s="313" t="n"/>
      <c r="B92" s="318" t="n"/>
      <c r="C92" s="316" t="n"/>
      <c r="D92" s="316" t="n"/>
      <c r="E92" s="317" t="n"/>
      <c r="F92" s="317" t="n"/>
      <c r="G92" s="318" t="n"/>
      <c r="H92" s="316" t="n"/>
      <c r="I92" s="301" t="n"/>
      <c r="J92" s="301" t="n"/>
    </row>
    <row r="93" ht="15" customHeight="1" s="221">
      <c r="A93" s="319" t="n"/>
      <c r="B93" s="324" t="n"/>
      <c r="C93" s="322" t="n"/>
      <c r="D93" s="322" t="n"/>
      <c r="E93" s="323" t="n"/>
      <c r="F93" s="323" t="n"/>
      <c r="G93" s="324" t="n"/>
      <c r="H93" s="322" t="n"/>
      <c r="I93" s="301" t="n"/>
      <c r="J93" s="301" t="n"/>
    </row>
    <row r="94" ht="15" customHeight="1" s="221">
      <c r="A94" s="313" t="n"/>
      <c r="B94" s="318" t="n"/>
      <c r="C94" s="316" t="n"/>
      <c r="D94" s="316" t="n"/>
      <c r="E94" s="317" t="n"/>
      <c r="F94" s="317" t="n"/>
      <c r="G94" s="318" t="n"/>
      <c r="H94" s="316" t="n"/>
      <c r="I94" s="301" t="n"/>
      <c r="J94" s="301" t="n"/>
    </row>
    <row r="95" ht="15" customHeight="1" s="221">
      <c r="A95" s="319" t="n"/>
      <c r="B95" s="324" t="n"/>
      <c r="C95" s="322" t="n"/>
      <c r="D95" s="322" t="n"/>
      <c r="E95" s="323" t="n"/>
      <c r="F95" s="323" t="n"/>
      <c r="G95" s="324" t="n"/>
      <c r="H95" s="322" t="n"/>
      <c r="I95" s="301" t="n"/>
      <c r="J95" s="301" t="n"/>
    </row>
    <row r="96" ht="15" customHeight="1" s="221">
      <c r="A96" s="313" t="n"/>
      <c r="B96" s="318" t="n"/>
      <c r="C96" s="316" t="n"/>
      <c r="D96" s="316" t="n"/>
      <c r="E96" s="317" t="n"/>
      <c r="F96" s="317" t="n"/>
      <c r="G96" s="318" t="n"/>
      <c r="H96" s="316" t="n"/>
      <c r="I96" s="301" t="n"/>
      <c r="J96" s="301" t="n"/>
    </row>
    <row r="97" ht="15" customHeight="1" s="221">
      <c r="A97" s="319" t="n"/>
      <c r="B97" s="324" t="n"/>
      <c r="C97" s="322" t="n"/>
      <c r="D97" s="322" t="n"/>
      <c r="E97" s="323" t="n"/>
      <c r="F97" s="323" t="n"/>
      <c r="G97" s="324" t="n"/>
      <c r="H97" s="322" t="n"/>
      <c r="I97" s="301" t="n"/>
      <c r="J97" s="301" t="n"/>
    </row>
    <row r="98" ht="15" customHeight="1" s="221">
      <c r="A98" s="313" t="n"/>
      <c r="B98" s="318" t="n"/>
      <c r="C98" s="316" t="n"/>
      <c r="D98" s="316" t="n"/>
      <c r="E98" s="317" t="n"/>
      <c r="F98" s="317" t="n"/>
      <c r="G98" s="318" t="n"/>
      <c r="H98" s="316" t="n"/>
      <c r="I98" s="301" t="n"/>
      <c r="J98" s="301" t="n"/>
    </row>
    <row r="99" ht="15" customHeight="1" s="221">
      <c r="A99" s="319" t="n"/>
      <c r="B99" s="324" t="n"/>
      <c r="C99" s="322" t="n"/>
      <c r="D99" s="322" t="n"/>
      <c r="E99" s="323" t="n"/>
      <c r="F99" s="323" t="n"/>
      <c r="G99" s="324" t="n"/>
      <c r="H99" s="322" t="n"/>
      <c r="I99" s="301" t="n"/>
      <c r="J99" s="301" t="n"/>
    </row>
    <row r="100" ht="15" customHeight="1" s="221">
      <c r="A100" s="313" t="n"/>
      <c r="B100" s="318" t="n"/>
      <c r="C100" s="316" t="n"/>
      <c r="D100" s="316" t="n"/>
      <c r="E100" s="317" t="n"/>
      <c r="F100" s="317" t="n"/>
      <c r="G100" s="318" t="n"/>
      <c r="H100" s="316" t="n"/>
      <c r="I100" s="301" t="n"/>
      <c r="J100" s="301" t="n"/>
    </row>
    <row r="101" ht="15" customHeight="1" s="221">
      <c r="A101" s="319" t="n"/>
      <c r="B101" s="324" t="n"/>
      <c r="C101" s="322" t="n"/>
      <c r="D101" s="322" t="n"/>
      <c r="E101" s="323" t="n"/>
      <c r="F101" s="323" t="n"/>
      <c r="G101" s="324" t="n"/>
      <c r="H101" s="322" t="n"/>
      <c r="I101" s="301" t="n"/>
      <c r="J101" s="301" t="n"/>
    </row>
    <row r="102" ht="15" customHeight="1" s="221">
      <c r="A102" s="313" t="n"/>
      <c r="B102" s="318" t="n"/>
      <c r="C102" s="316" t="n"/>
      <c r="D102" s="316" t="n"/>
      <c r="E102" s="317" t="n"/>
      <c r="F102" s="317" t="n"/>
      <c r="G102" s="318" t="n"/>
      <c r="H102" s="316" t="n"/>
      <c r="I102" s="301" t="n"/>
      <c r="J102" s="301" t="n"/>
    </row>
    <row r="103" ht="15" customHeight="1" s="221">
      <c r="A103" s="319" t="n"/>
      <c r="B103" s="324" t="n"/>
      <c r="C103" s="322" t="n"/>
      <c r="D103" s="322" t="n"/>
      <c r="E103" s="323" t="n"/>
      <c r="F103" s="323" t="n"/>
      <c r="G103" s="324" t="n"/>
      <c r="H103" s="322" t="n"/>
      <c r="I103" s="301" t="n"/>
      <c r="J103" s="301" t="n"/>
    </row>
    <row r="104" ht="15" customHeight="1" s="221">
      <c r="A104" s="325" t="inlineStr">
        <is>
          <t>TOTALES</t>
        </is>
      </c>
      <c r="E104" s="326">
        <f>SUM(E4:E103)</f>
        <v/>
      </c>
      <c r="F104" s="327">
        <f>SUM(F4:F103)</f>
        <v/>
      </c>
      <c r="G104" s="301" t="n"/>
      <c r="H104" s="301" t="n"/>
      <c r="I104" s="301" t="n"/>
      <c r="J104" s="301" t="n"/>
    </row>
    <row r="105" ht="18" customHeight="1" s="221">
      <c r="A105" s="301" t="n"/>
      <c r="B105" s="301" t="n"/>
      <c r="C105" s="301" t="n"/>
      <c r="D105" s="301" t="n"/>
      <c r="E105" s="328" t="n"/>
      <c r="F105" s="301" t="n"/>
      <c r="G105" s="301" t="n"/>
      <c r="H105" s="301" t="n"/>
      <c r="I105" s="301" t="n"/>
      <c r="J105" s="301" t="n"/>
    </row>
    <row r="106" ht="15" customHeight="1" s="221">
      <c r="A106" s="310" t="inlineStr">
        <is>
          <t>📊 RESUMEN DEL MES</t>
        </is>
      </c>
      <c r="D106" s="301" t="n"/>
      <c r="E106" s="328" t="n"/>
      <c r="F106" s="301" t="n"/>
      <c r="G106" s="301" t="n"/>
      <c r="H106" s="301" t="n"/>
      <c r="I106" s="301" t="n"/>
      <c r="J106" s="301" t="n"/>
    </row>
    <row r="107" ht="15" customHeight="1" s="221">
      <c r="A107" s="223" t="inlineStr">
        <is>
          <t>INGRESOS:</t>
        </is>
      </c>
      <c r="B107" s="301" t="n"/>
      <c r="C107" s="328">
        <f>SUMIF(B4:B103,"Ingreso NT",E4:E103)</f>
        <v/>
      </c>
      <c r="D107" s="301" t="n"/>
      <c r="E107" s="328" t="n"/>
      <c r="F107" s="301" t="n"/>
      <c r="G107" s="301" t="n"/>
      <c r="H107" s="301" t="n"/>
      <c r="I107" s="301" t="n"/>
      <c r="J107" s="301" t="n"/>
    </row>
    <row r="108" ht="15" customHeight="1" s="221">
      <c r="A108" s="301" t="inlineStr">
        <is>
          <t xml:space="preserve">  Ingreso NT:</t>
        </is>
      </c>
      <c r="B108" s="301" t="n"/>
      <c r="C108" s="329">
        <f>SUMIF(B4:B103,"Ingreso NT",E4:E103)</f>
        <v/>
      </c>
      <c r="D108" s="301" t="n"/>
      <c r="E108" s="328" t="n"/>
      <c r="F108" s="301" t="n"/>
      <c r="G108" s="301" t="n"/>
      <c r="H108" s="301" t="n"/>
      <c r="I108" s="301" t="n"/>
      <c r="J108" s="301" t="n"/>
    </row>
    <row r="109" ht="15" customHeight="1" s="221">
      <c r="A109" s="301" t="inlineStr">
        <is>
          <t xml:space="preserve">  Ingreso Marco:</t>
        </is>
      </c>
      <c r="B109" s="301" t="n"/>
      <c r="C109" s="330">
        <f>SUMIF(B4:B103,"Ingreso Marco",E4:E103)</f>
        <v/>
      </c>
      <c r="D109" s="301" t="n"/>
      <c r="E109" s="328" t="n"/>
      <c r="F109" s="301" t="n"/>
      <c r="G109" s="301" t="n"/>
      <c r="H109" s="301" t="n"/>
      <c r="I109" s="301" t="n"/>
      <c r="J109" s="301" t="n"/>
    </row>
    <row r="110" ht="15" customHeight="1" s="221">
      <c r="A110" s="301" t="inlineStr">
        <is>
          <t xml:space="preserve">  Ingreso Clara:</t>
        </is>
      </c>
      <c r="B110" s="301" t="n"/>
      <c r="C110" s="331">
        <f>SUMIF(B4:B103,"Ingreso Clara",E4:E103)</f>
        <v/>
      </c>
      <c r="D110" s="301" t="n"/>
      <c r="E110" s="328" t="n"/>
      <c r="F110" s="301" t="n"/>
      <c r="G110" s="301" t="n"/>
      <c r="H110" s="301" t="n"/>
      <c r="I110" s="301" t="n"/>
      <c r="J110" s="301" t="n"/>
    </row>
    <row r="111" ht="15" customHeight="1" s="221">
      <c r="A111" s="301" t="inlineStr">
        <is>
          <t xml:space="preserve">  Devolución Fam → NT:</t>
        </is>
      </c>
      <c r="B111" s="301" t="n"/>
      <c r="C111" s="332">
        <f>SUMIF(B4:B103,"Devolución Familia → NT",E4:E103)</f>
        <v/>
      </c>
      <c r="D111" s="301" t="n"/>
      <c r="E111" s="328" t="n"/>
      <c r="F111" s="301" t="n"/>
      <c r="G111" s="301" t="n"/>
      <c r="H111" s="301" t="n"/>
      <c r="I111" s="301" t="n"/>
      <c r="J111" s="301" t="n"/>
    </row>
    <row r="112" ht="15" customHeight="1" s="221">
      <c r="A112" s="223" t="inlineStr">
        <is>
          <t xml:space="preserve">  TOTAL INGRESOS:</t>
        </is>
      </c>
      <c r="B112" s="301" t="n"/>
      <c r="C112" s="333">
        <f>SUM(C108:C111)</f>
        <v/>
      </c>
      <c r="D112" s="301" t="n"/>
      <c r="E112" s="328" t="n"/>
      <c r="F112" s="301" t="n"/>
      <c r="G112" s="301" t="n"/>
      <c r="H112" s="301" t="n"/>
      <c r="I112" s="301" t="n"/>
      <c r="J112" s="301" t="n"/>
    </row>
    <row r="113" ht="15" customHeight="1" s="221">
      <c r="A113" s="301" t="inlineStr">
        <is>
          <t>EGRESOS:</t>
        </is>
      </c>
      <c r="B113" s="301" t="n"/>
      <c r="C113" s="301" t="n"/>
      <c r="D113" s="301" t="n"/>
      <c r="E113" s="328" t="n"/>
      <c r="F113" s="301" t="n"/>
      <c r="G113" s="301" t="n"/>
      <c r="H113" s="301" t="n"/>
      <c r="I113" s="301" t="n"/>
      <c r="J113" s="301" t="n"/>
    </row>
    <row r="114" ht="15" customHeight="1" s="221">
      <c r="A114" s="223" t="inlineStr">
        <is>
          <t>EGRESOS:</t>
        </is>
      </c>
      <c r="B114" s="301" t="n"/>
      <c r="C114" s="328">
        <f>SUMIF(B4:B103,"Egreso NT",F4:F103)</f>
        <v/>
      </c>
      <c r="D114" s="301" t="n"/>
      <c r="E114" s="328" t="n"/>
      <c r="F114" s="301" t="n"/>
      <c r="G114" s="301" t="n"/>
      <c r="H114" s="301" t="n"/>
      <c r="I114" s="301" t="n"/>
      <c r="J114" s="301" t="n"/>
    </row>
    <row r="115" ht="15" customHeight="1" s="221">
      <c r="A115" s="301" t="inlineStr">
        <is>
          <t xml:space="preserve">  Egreso NT:</t>
        </is>
      </c>
      <c r="B115" s="301" t="n"/>
      <c r="C115" s="334">
        <f>SUMIF(B4:B103,"Egreso NT",F4:F103)</f>
        <v/>
      </c>
      <c r="D115" s="301" t="n"/>
      <c r="E115" s="328" t="n"/>
      <c r="F115" s="301" t="n"/>
      <c r="G115" s="301" t="n"/>
      <c r="H115" s="301" t="n"/>
      <c r="I115" s="301" t="n"/>
      <c r="J115" s="301" t="n"/>
    </row>
    <row r="116" ht="15" customHeight="1" s="221">
      <c r="A116" s="301" t="inlineStr">
        <is>
          <t xml:space="preserve">  Egreso Familiar:</t>
        </is>
      </c>
      <c r="B116" s="301" t="n"/>
      <c r="C116" s="335">
        <f>SUMIF(B4:B103,"Egreso Familiar",F4:F103)</f>
        <v/>
      </c>
      <c r="D116" s="301" t="n"/>
      <c r="E116" s="328" t="n"/>
      <c r="F116" s="301" t="n"/>
      <c r="G116" s="301" t="n"/>
      <c r="H116" s="301" t="n"/>
      <c r="I116" s="301" t="n"/>
      <c r="J116" s="301" t="n"/>
    </row>
    <row r="117" ht="15" customHeight="1" s="221">
      <c r="A117" s="301" t="inlineStr">
        <is>
          <t xml:space="preserve">  Préstamo NT → Fam:</t>
        </is>
      </c>
      <c r="B117" s="301" t="n"/>
      <c r="C117" s="336">
        <f>SUMIF(B4:B103,"Préstamo NT → Familia",F4:F103)</f>
        <v/>
      </c>
      <c r="D117" s="301" t="n"/>
      <c r="E117" s="328" t="n"/>
      <c r="F117" s="301" t="n"/>
      <c r="G117" s="301" t="n"/>
      <c r="H117" s="301" t="n"/>
      <c r="I117" s="301" t="n"/>
      <c r="J117" s="301" t="n"/>
    </row>
    <row r="118" ht="15" customHeight="1" s="221">
      <c r="A118" s="223" t="inlineStr">
        <is>
          <t xml:space="preserve">  TOTAL EGRESOS:</t>
        </is>
      </c>
      <c r="B118" s="301" t="n"/>
      <c r="C118" s="337">
        <f>SUM(C115:C117)</f>
        <v/>
      </c>
      <c r="D118" s="301" t="n"/>
      <c r="E118" s="328" t="n"/>
      <c r="F118" s="301" t="n"/>
      <c r="G118" s="301" t="n"/>
      <c r="H118" s="301" t="n"/>
      <c r="I118" s="301" t="n"/>
      <c r="J118" s="301" t="n"/>
    </row>
    <row r="119" ht="15" customHeight="1" s="221">
      <c r="A119" s="301" t="n"/>
      <c r="B119" s="301" t="n"/>
      <c r="C119" s="301" t="n"/>
      <c r="D119" s="301" t="n"/>
      <c r="E119" s="328" t="n"/>
      <c r="F119" s="301" t="n"/>
      <c r="G119" s="301" t="n"/>
      <c r="H119" s="301" t="n"/>
      <c r="I119" s="301" t="n"/>
      <c r="J119" s="301" t="n"/>
    </row>
    <row r="120" ht="15" customHeight="1" s="221">
      <c r="A120" s="223" t="inlineStr">
        <is>
          <t>SALDO PRÉSTAMO NT → FAM:</t>
        </is>
      </c>
      <c r="B120" s="301" t="n"/>
      <c r="C120" s="338">
        <f>C117-C111</f>
        <v/>
      </c>
      <c r="D120" s="301" t="n"/>
      <c r="E120" s="328" t="n"/>
      <c r="F120" s="301" t="n"/>
      <c r="G120" s="301" t="n"/>
      <c r="H120" s="301" t="n"/>
      <c r="I120" s="301" t="n"/>
      <c r="J120" s="301" t="n"/>
    </row>
    <row r="121" ht="15" customHeight="1" s="221">
      <c r="A121" s="339" t="inlineStr">
        <is>
          <t>(Prestado - Devuelto)</t>
        </is>
      </c>
      <c r="B121" s="301" t="n"/>
      <c r="C121" s="301" t="n"/>
      <c r="D121" s="301" t="n"/>
      <c r="E121" s="328" t="n"/>
      <c r="F121" s="301" t="n"/>
      <c r="G121" s="301" t="n"/>
      <c r="H121" s="301" t="n"/>
      <c r="I121" s="301" t="n"/>
      <c r="J121" s="301" t="n"/>
    </row>
    <row r="122" ht="15" customHeight="1" s="221">
      <c r="A122" s="301" t="n"/>
      <c r="B122" s="301" t="n"/>
      <c r="C122" s="301" t="n"/>
      <c r="D122" s="301" t="n"/>
      <c r="E122" s="328" t="n"/>
      <c r="F122" s="301" t="n"/>
      <c r="G122" s="301" t="n"/>
      <c r="H122" s="301" t="n"/>
      <c r="I122" s="301" t="n"/>
      <c r="J122" s="301" t="n"/>
    </row>
    <row r="123" ht="15" customHeight="1" s="221">
      <c r="A123" s="301" t="n"/>
      <c r="B123" s="301" t="n"/>
      <c r="C123" s="301" t="n"/>
      <c r="D123" s="301" t="n"/>
      <c r="E123" s="328" t="n"/>
      <c r="F123" s="301" t="n"/>
      <c r="G123" s="301" t="n"/>
      <c r="H123" s="301" t="n"/>
      <c r="I123" s="301" t="n"/>
      <c r="J123" s="301" t="n"/>
    </row>
    <row r="124" ht="15" customHeight="1" s="221">
      <c r="A124" s="301" t="n"/>
      <c r="B124" s="301" t="n"/>
      <c r="C124" s="301" t="n"/>
      <c r="D124" s="301" t="n"/>
      <c r="E124" s="328" t="n"/>
      <c r="F124" s="301" t="n"/>
      <c r="G124" s="301" t="n"/>
      <c r="H124" s="301" t="n"/>
      <c r="I124" s="301" t="n"/>
      <c r="J124" s="301" t="n"/>
    </row>
    <row r="125" ht="15" customHeight="1" s="221">
      <c r="A125" s="301" t="n"/>
      <c r="B125" s="301" t="n"/>
      <c r="C125" s="301" t="n"/>
      <c r="D125" s="301" t="n"/>
      <c r="E125" s="328" t="n"/>
      <c r="F125" s="301" t="n"/>
      <c r="G125" s="301" t="n"/>
      <c r="H125" s="301" t="n"/>
      <c r="I125" s="301" t="n"/>
      <c r="J125" s="301" t="n"/>
    </row>
    <row r="126" ht="15" customHeight="1" s="221">
      <c r="A126" s="301" t="n"/>
      <c r="B126" s="301" t="n"/>
      <c r="C126" s="301" t="n"/>
      <c r="D126" s="301" t="n"/>
      <c r="E126" s="328" t="n"/>
      <c r="F126" s="301" t="n"/>
      <c r="G126" s="301" t="n"/>
      <c r="H126" s="301" t="n"/>
      <c r="I126" s="301" t="n"/>
      <c r="J126" s="301" t="n"/>
    </row>
    <row r="127" ht="15" customHeight="1" s="221">
      <c r="A127" s="301" t="n"/>
      <c r="B127" s="301" t="n"/>
      <c r="C127" s="301" t="n"/>
      <c r="D127" s="301" t="n"/>
      <c r="E127" s="328" t="n"/>
      <c r="F127" s="301" t="n"/>
      <c r="G127" s="301" t="n"/>
      <c r="H127" s="301" t="n"/>
      <c r="I127" s="301" t="n"/>
      <c r="J127" s="301" t="n"/>
    </row>
    <row r="128" ht="15" customHeight="1" s="221">
      <c r="A128" s="301" t="n"/>
      <c r="B128" s="301" t="n"/>
      <c r="C128" s="301" t="n"/>
      <c r="D128" s="301" t="n"/>
      <c r="E128" s="328" t="n"/>
      <c r="F128" s="301" t="n"/>
      <c r="G128" s="301" t="n"/>
      <c r="H128" s="301" t="n"/>
      <c r="I128" s="301" t="n"/>
      <c r="J128" s="301" t="n"/>
    </row>
    <row r="129" ht="15" customHeight="1" s="221">
      <c r="A129" s="301" t="n"/>
      <c r="B129" s="301" t="n"/>
      <c r="C129" s="301" t="n"/>
      <c r="D129" s="301" t="n"/>
      <c r="E129" s="328" t="n"/>
      <c r="F129" s="301" t="n"/>
      <c r="G129" s="301" t="n"/>
      <c r="H129" s="301" t="n"/>
      <c r="I129" s="301" t="n"/>
      <c r="J129" s="301" t="n"/>
    </row>
    <row r="130" ht="15" customHeight="1" s="221">
      <c r="A130" s="301" t="n"/>
      <c r="B130" s="301" t="n"/>
      <c r="C130" s="301" t="n"/>
      <c r="D130" s="301" t="n"/>
      <c r="E130" s="328" t="n"/>
      <c r="F130" s="301" t="n"/>
      <c r="G130" s="301" t="n"/>
      <c r="H130" s="301" t="n"/>
      <c r="I130" s="301" t="n"/>
      <c r="J130" s="301" t="n"/>
    </row>
    <row r="131" ht="15" customHeight="1" s="221">
      <c r="A131" s="301" t="n"/>
      <c r="B131" s="301" t="n"/>
      <c r="C131" s="301" t="n"/>
      <c r="D131" s="301" t="n"/>
      <c r="E131" s="328" t="n"/>
      <c r="F131" s="301" t="n"/>
      <c r="G131" s="301" t="n"/>
      <c r="H131" s="301" t="n"/>
      <c r="I131" s="301" t="n"/>
      <c r="J131" s="301" t="n"/>
    </row>
    <row r="132" ht="15" customHeight="1" s="221">
      <c r="A132" s="301" t="n"/>
      <c r="B132" s="301" t="n"/>
      <c r="C132" s="301" t="n"/>
      <c r="D132" s="301" t="n"/>
      <c r="E132" s="328" t="n"/>
      <c r="F132" s="301" t="n"/>
      <c r="G132" s="301" t="n"/>
      <c r="H132" s="301" t="n"/>
      <c r="I132" s="301" t="n"/>
      <c r="J132" s="301" t="n"/>
    </row>
    <row r="133" ht="15" customHeight="1" s="221">
      <c r="A133" s="301" t="n"/>
      <c r="B133" s="301" t="n"/>
      <c r="C133" s="301" t="n"/>
      <c r="D133" s="301" t="n"/>
      <c r="E133" s="328" t="n"/>
      <c r="F133" s="301" t="n"/>
      <c r="G133" s="301" t="n"/>
      <c r="H133" s="301" t="n"/>
      <c r="I133" s="301" t="n"/>
      <c r="J133" s="301" t="n"/>
    </row>
    <row r="134" ht="15" customHeight="1" s="221">
      <c r="A134" s="301" t="n"/>
      <c r="B134" s="301" t="n"/>
      <c r="C134" s="301" t="n"/>
      <c r="D134" s="301" t="n"/>
      <c r="E134" s="328" t="n"/>
      <c r="F134" s="301" t="n"/>
      <c r="G134" s="301" t="n"/>
      <c r="H134" s="301" t="n"/>
      <c r="I134" s="301" t="n"/>
      <c r="J134" s="301" t="n"/>
    </row>
    <row r="135" ht="15" customHeight="1" s="221">
      <c r="A135" s="301" t="n"/>
      <c r="B135" s="301" t="n"/>
      <c r="C135" s="301" t="n"/>
      <c r="D135" s="301" t="n"/>
      <c r="E135" s="328" t="n"/>
      <c r="F135" s="301" t="n"/>
      <c r="G135" s="301" t="n"/>
      <c r="H135" s="301" t="n"/>
      <c r="I135" s="301" t="n"/>
      <c r="J135" s="301" t="n"/>
    </row>
    <row r="136" ht="15" customHeight="1" s="221">
      <c r="A136" s="301" t="n"/>
      <c r="B136" s="301" t="n"/>
      <c r="C136" s="301" t="n"/>
      <c r="D136" s="301" t="n"/>
      <c r="E136" s="328" t="n"/>
      <c r="F136" s="301" t="n"/>
      <c r="G136" s="301" t="n"/>
      <c r="H136" s="301" t="n"/>
      <c r="I136" s="301" t="n"/>
      <c r="J136" s="301" t="n"/>
    </row>
    <row r="137" ht="15" customHeight="1" s="221">
      <c r="A137" s="301" t="n"/>
      <c r="B137" s="301" t="n"/>
      <c r="C137" s="301" t="n"/>
      <c r="D137" s="301" t="n"/>
      <c r="E137" s="328" t="n"/>
      <c r="F137" s="301" t="n"/>
      <c r="G137" s="301" t="n"/>
      <c r="H137" s="301" t="n"/>
      <c r="I137" s="301" t="n"/>
      <c r="J137" s="301" t="n"/>
    </row>
    <row r="138" ht="15" customHeight="1" s="221">
      <c r="A138" s="301" t="n"/>
      <c r="B138" s="301" t="n"/>
      <c r="C138" s="301" t="n"/>
      <c r="D138" s="301" t="n"/>
      <c r="E138" s="328" t="n"/>
      <c r="F138" s="301" t="n"/>
      <c r="G138" s="301" t="n"/>
      <c r="H138" s="301" t="n"/>
      <c r="I138" s="301" t="n"/>
      <c r="J138" s="301" t="n"/>
    </row>
    <row r="139" ht="15" customHeight="1" s="221">
      <c r="A139" s="301" t="n"/>
      <c r="B139" s="301" t="n"/>
      <c r="C139" s="301" t="n"/>
      <c r="D139" s="301" t="n"/>
      <c r="E139" s="301" t="n"/>
      <c r="F139" s="301" t="n"/>
      <c r="G139" s="301" t="n"/>
      <c r="H139" s="301" t="n"/>
      <c r="I139" s="301" t="n"/>
      <c r="J139" s="301" t="n"/>
    </row>
    <row r="140" ht="15" customHeight="1" s="221">
      <c r="A140" s="301" t="n"/>
      <c r="B140" s="301" t="n"/>
      <c r="C140" s="301" t="n"/>
      <c r="D140" s="301" t="n"/>
      <c r="E140" s="301" t="n"/>
      <c r="F140" s="301" t="n"/>
      <c r="G140" s="301" t="n"/>
      <c r="H140" s="301" t="n"/>
      <c r="I140" s="301" t="n"/>
      <c r="J140" s="301" t="n"/>
    </row>
    <row r="141" ht="15" customHeight="1" s="221">
      <c r="A141" s="301" t="n"/>
      <c r="B141" s="301" t="n"/>
      <c r="C141" s="301" t="n"/>
      <c r="D141" s="301" t="n"/>
      <c r="E141" s="301" t="n"/>
      <c r="F141" s="301" t="n"/>
      <c r="G141" s="301" t="n"/>
      <c r="H141" s="301" t="n"/>
      <c r="I141" s="301" t="n"/>
      <c r="J141" s="301" t="n"/>
    </row>
    <row r="142" ht="15" customHeight="1" s="221">
      <c r="A142" s="301" t="n"/>
      <c r="B142" s="301" t="n"/>
      <c r="C142" s="301" t="n"/>
      <c r="D142" s="301" t="n"/>
      <c r="E142" s="301" t="n"/>
      <c r="F142" s="301" t="n"/>
      <c r="G142" s="301" t="n"/>
      <c r="H142" s="301" t="n"/>
      <c r="I142" s="301" t="n"/>
      <c r="J142" s="301" t="n"/>
    </row>
    <row r="143" ht="15" customHeight="1" s="221">
      <c r="A143" s="301" t="n"/>
      <c r="B143" s="301" t="n"/>
      <c r="C143" s="301" t="n"/>
      <c r="D143" s="301" t="n"/>
      <c r="E143" s="301" t="n"/>
      <c r="F143" s="301" t="n"/>
      <c r="G143" s="301" t="n"/>
      <c r="H143" s="301" t="n"/>
      <c r="I143" s="301" t="n"/>
      <c r="J143" s="301" t="n"/>
    </row>
    <row r="144" ht="15" customHeight="1" s="221">
      <c r="A144" s="301" t="n"/>
      <c r="B144" s="301" t="n"/>
      <c r="C144" s="301" t="n"/>
      <c r="D144" s="301" t="n"/>
      <c r="E144" s="301" t="n"/>
      <c r="F144" s="301" t="n"/>
      <c r="G144" s="301" t="n"/>
      <c r="H144" s="301" t="n"/>
      <c r="I144" s="301" t="n"/>
      <c r="J144" s="301" t="n"/>
    </row>
    <row r="145" ht="15" customHeight="1" s="221">
      <c r="A145" s="301" t="n"/>
      <c r="B145" s="301" t="n"/>
      <c r="C145" s="301" t="n"/>
      <c r="D145" s="301" t="n"/>
      <c r="E145" s="301" t="n"/>
      <c r="F145" s="301" t="n"/>
      <c r="G145" s="301" t="n"/>
      <c r="H145" s="301" t="n"/>
      <c r="I145" s="301" t="n"/>
      <c r="J145" s="301" t="n"/>
    </row>
    <row r="146" ht="15" customHeight="1" s="221">
      <c r="A146" s="301" t="n"/>
      <c r="B146" s="301" t="n"/>
      <c r="C146" s="301" t="n"/>
      <c r="D146" s="301" t="n"/>
      <c r="E146" s="301" t="n"/>
      <c r="F146" s="301" t="n"/>
      <c r="G146" s="301" t="n"/>
      <c r="H146" s="301" t="n"/>
      <c r="I146" s="301" t="n"/>
      <c r="J146" s="301" t="n"/>
    </row>
    <row r="147" ht="15" customHeight="1" s="221">
      <c r="A147" s="301" t="n"/>
      <c r="B147" s="301" t="n"/>
      <c r="C147" s="301" t="n"/>
      <c r="D147" s="301" t="n"/>
      <c r="E147" s="301" t="n"/>
      <c r="F147" s="301" t="n"/>
      <c r="G147" s="301" t="n"/>
      <c r="H147" s="301" t="n"/>
      <c r="I147" s="301" t="n"/>
      <c r="J147" s="301" t="n"/>
    </row>
    <row r="148" ht="15" customHeight="1" s="221">
      <c r="A148" s="301" t="n"/>
      <c r="B148" s="301" t="n"/>
      <c r="C148" s="301" t="n"/>
      <c r="D148" s="301" t="n"/>
      <c r="E148" s="301" t="n"/>
      <c r="F148" s="301" t="n"/>
      <c r="G148" s="301" t="n"/>
      <c r="H148" s="301" t="n"/>
      <c r="I148" s="301" t="n"/>
      <c r="J148" s="301" t="n"/>
    </row>
    <row r="149" ht="15" customHeight="1" s="221">
      <c r="A149" s="301" t="n"/>
      <c r="B149" s="301" t="n"/>
      <c r="C149" s="301" t="n"/>
      <c r="D149" s="301" t="n"/>
      <c r="E149" s="301" t="n"/>
      <c r="F149" s="301" t="n"/>
      <c r="G149" s="301" t="n"/>
      <c r="H149" s="301" t="n"/>
      <c r="I149" s="301" t="n"/>
      <c r="J149" s="301" t="n"/>
    </row>
    <row r="150" ht="15" customHeight="1" s="221">
      <c r="A150" s="301" t="n"/>
      <c r="B150" s="301" t="n"/>
      <c r="C150" s="301" t="n"/>
      <c r="D150" s="301" t="n"/>
      <c r="E150" s="301" t="n"/>
      <c r="F150" s="301" t="n"/>
      <c r="G150" s="301" t="n"/>
      <c r="H150" s="301" t="n"/>
      <c r="I150" s="301" t="n"/>
      <c r="J150" s="301" t="n"/>
    </row>
  </sheetData>
  <mergeCells count="3">
    <mergeCell ref="A104:D104"/>
    <mergeCell ref="A106:C106"/>
    <mergeCell ref="A1:H1"/>
  </mergeCells>
  <dataValidations count="2">
    <dataValidation sqref="B4:B103" showDropDown="0" showInputMessage="0" showErrorMessage="0" allowBlank="1" type="list" errorStyle="stop" operator="between">
      <formula1>"Familiar,NeuroTEA"</formula1>
      <formula2>0</formula2>
    </dataValidation>
    <dataValidation sqref="C4:C103" showDropDown="0" showInputMessage="0" showErrorMessage="0" allowBlank="1" type="list" errorStyle="stop" operator="between">
      <formula1>"Combustible,Supermercado,Farmacia,Recreación,Gastos Varios,Reserva Fam 1,Reserva Fam 2,Reserva Fam 3,Insumos NT,Papelería NT,Mantenimiento NT,Festejos NT,Gastos Cursos NT,Gastos Varios NT,Reserva NT 1,Reserva NT 2,Reserva NT 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27AE60"/>
    <outlinePr summaryBelow="1" summaryRight="1"/>
    <pageSetUpPr fitToPage="0"/>
  </sheetPr>
  <dimension ref="A1:L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24" customWidth="1" style="220" min="1" max="1"/>
    <col width="12" customWidth="1" style="220" min="2" max="2"/>
    <col width="14" customWidth="1" style="220" min="3" max="4"/>
    <col width="2" customWidth="1" style="220" min="5" max="6"/>
    <col width="24" customWidth="1" style="220" min="7" max="7"/>
    <col width="12" customWidth="1" style="220" min="8" max="8"/>
    <col width="14" customWidth="1" style="220" min="9" max="10"/>
  </cols>
  <sheetData>
    <row r="1" ht="34.5" customHeight="1" s="221">
      <c r="A1" s="340" t="inlineStr">
        <is>
          <t>📊 CONTROL FINANCIERO - FEBRERO 2026</t>
        </is>
      </c>
      <c r="K1" s="301" t="n"/>
      <c r="L1" s="301" t="n"/>
    </row>
    <row r="2" ht="15" customHeight="1" s="221">
      <c r="A2" s="301" t="n"/>
      <c r="B2" s="301" t="n"/>
      <c r="C2" s="301" t="n"/>
      <c r="D2" s="301" t="n"/>
      <c r="E2" s="301" t="n"/>
      <c r="F2" s="301" t="n"/>
      <c r="G2" s="301" t="n"/>
      <c r="H2" s="301" t="n"/>
      <c r="I2" s="301" t="n"/>
      <c r="J2" s="301" t="n"/>
      <c r="K2" s="301" t="n"/>
      <c r="L2" s="301" t="n"/>
    </row>
    <row r="3" ht="15" customHeight="1" s="221">
      <c r="A3" s="341" t="inlineStr">
        <is>
          <t>TOTAL INGRESOS</t>
        </is>
      </c>
      <c r="C3" s="301" t="n"/>
      <c r="D3" s="342" t="inlineStr">
        <is>
          <t>GASTOS PAGADOS</t>
        </is>
      </c>
      <c r="F3" s="301" t="n"/>
      <c r="G3" s="343" t="inlineStr">
        <is>
          <t>GASTOS PENDIENTES</t>
        </is>
      </c>
      <c r="I3" s="301" t="n"/>
      <c r="J3" s="344" t="inlineStr">
        <is>
          <t>BALANCE</t>
        </is>
      </c>
      <c r="K3" s="301" t="n"/>
      <c r="L3" s="301" t="n"/>
    </row>
    <row r="4" ht="22.5" customHeight="1" s="221">
      <c r="A4" s="345">
        <f>D26+J12</f>
        <v/>
      </c>
      <c r="C4" s="328" t="n"/>
      <c r="D4" s="346">
        <f>D65+I58</f>
        <v/>
      </c>
      <c r="F4" s="301" t="n"/>
      <c r="G4" s="347">
        <f>D66+I59</f>
        <v/>
      </c>
      <c r="I4" s="301" t="n"/>
      <c r="J4" s="348">
        <f>A4-D4-G4</f>
        <v/>
      </c>
      <c r="K4" s="301" t="n"/>
      <c r="L4" s="301" t="n"/>
    </row>
    <row r="5" ht="15" customHeight="1" s="221">
      <c r="A5" s="301" t="n"/>
      <c r="B5" s="301" t="n"/>
      <c r="C5" s="301" t="n"/>
      <c r="D5" s="301" t="n"/>
      <c r="E5" s="301" t="n"/>
      <c r="F5" s="301" t="n"/>
      <c r="G5" s="301" t="n"/>
      <c r="H5" s="301" t="n"/>
      <c r="I5" s="301" t="n"/>
      <c r="J5" s="301" t="n"/>
      <c r="K5" s="301" t="n"/>
      <c r="L5" s="301" t="n"/>
    </row>
    <row r="6" ht="15.75" customHeight="1" s="221">
      <c r="A6" s="349" t="inlineStr">
        <is>
          <t>⚠️ PRÉSTAMO NT → FAMILIA</t>
        </is>
      </c>
      <c r="D6" s="350">
        <f>SUMIF('Ing-Egr Febrero 2026'!B4:B103,"Préstamo NT → Familia",'Ing-Egr Febrero 2026'!F4:F103)-SUMIF('Ing-Egr Febrero 2026'!B4:B103,"Devolución Familia → NT",'Ing-Egr Febrero 2026'!E4:E103)</f>
        <v/>
      </c>
      <c r="E6" s="301" t="n"/>
      <c r="F6" s="351" t="inlineStr">
        <is>
          <t>Estado:</t>
        </is>
      </c>
      <c r="G6" s="351">
        <f>IF(D6=0,"🟢 SANO","🔴 FUGA")</f>
        <v/>
      </c>
      <c r="H6" s="301" t="n"/>
      <c r="I6" s="339" t="inlineStr">
        <is>
          <t>(Ideal = 0)</t>
        </is>
      </c>
      <c r="J6" s="301" t="n"/>
      <c r="K6" s="301" t="n"/>
      <c r="L6" s="301" t="n"/>
    </row>
    <row r="7" ht="15" customHeight="1" s="221">
      <c r="A7" s="301" t="n"/>
      <c r="B7" s="301" t="n"/>
      <c r="C7" s="301" t="n"/>
      <c r="D7" s="301" t="n"/>
      <c r="E7" s="301" t="n"/>
      <c r="F7" s="301" t="n"/>
      <c r="G7" s="301" t="n"/>
      <c r="H7" s="301" t="n"/>
      <c r="I7" s="301" t="n"/>
      <c r="J7" s="301" t="n"/>
      <c r="K7" s="301" t="n"/>
      <c r="L7" s="301" t="n"/>
    </row>
    <row r="8" ht="15" customHeight="1" s="221">
      <c r="A8" s="352" t="inlineStr">
        <is>
          <t>💵 INGRESOS FAMILIA</t>
        </is>
      </c>
      <c r="B8" s="256" t="n"/>
      <c r="C8" s="256" t="n"/>
      <c r="D8" s="353" t="n"/>
      <c r="E8" s="354" t="n"/>
      <c r="F8" s="354" t="n"/>
      <c r="G8" s="355" t="inlineStr">
        <is>
          <t>💵 INGRESOS NEUROTEA</t>
        </is>
      </c>
      <c r="H8" s="256" t="n"/>
      <c r="I8" s="256" t="n"/>
      <c r="J8" s="353" t="n"/>
      <c r="K8" s="301" t="n"/>
      <c r="L8" s="301" t="n"/>
    </row>
    <row r="9" ht="15" customHeight="1" s="221">
      <c r="A9" s="356" t="inlineStr">
        <is>
          <t>MARCO ITAIPU</t>
        </is>
      </c>
      <c r="B9" s="353" t="n"/>
      <c r="C9" s="357" t="inlineStr">
        <is>
          <t>Fecha</t>
        </is>
      </c>
      <c r="D9" s="358" t="inlineStr">
        <is>
          <t>Monto</t>
        </is>
      </c>
      <c r="E9" s="359" t="n"/>
      <c r="F9" s="360" t="n"/>
      <c r="G9" s="361" t="inlineStr">
        <is>
          <t>Ingreso del Mes</t>
        </is>
      </c>
      <c r="H9" s="256" t="n"/>
      <c r="I9" s="353" t="n"/>
      <c r="J9" s="362" t="inlineStr">
        <is>
          <t>Monto</t>
        </is>
      </c>
      <c r="K9" s="301" t="n"/>
      <c r="L9" s="301" t="n"/>
    </row>
    <row r="10" ht="15" customHeight="1" s="221">
      <c r="A10" s="363" t="inlineStr">
        <is>
          <t>Salario Mensual</t>
        </is>
      </c>
      <c r="B10" s="364" t="n"/>
      <c r="C10" s="365" t="n"/>
      <c r="D10" s="366">
        <f>SUMIFS('Ing-Egr Febrero 2026'!E4:E103,'Ing-Egr Febrero 2026'!B4:B103,"Ingreso Marco",'Ing-Egr Febrero 2026'!C4:C103,A10)</f>
        <v/>
      </c>
      <c r="E10" s="359" t="n"/>
      <c r="F10" s="360" t="n"/>
      <c r="G10" s="367" t="inlineStr">
        <is>
          <t>(Suma desde pestaña Ing-Egr Febrero)</t>
        </is>
      </c>
      <c r="H10" s="256" t="n"/>
      <c r="I10" s="353" t="n"/>
      <c r="J10" s="368">
        <f>SUMIF('Ing-Egr Febrero 2026'!B4:B103,"Ingreso NT",'Ing-Egr Febrero 2026'!E4:E103)</f>
        <v/>
      </c>
      <c r="K10" s="301" t="n"/>
      <c r="L10" s="301" t="n"/>
    </row>
    <row r="11" ht="15" customHeight="1" s="221">
      <c r="A11" s="369" t="inlineStr">
        <is>
          <t>Vacaciones</t>
        </is>
      </c>
      <c r="B11" s="370" t="n"/>
      <c r="C11" s="371" t="n"/>
      <c r="D11" s="366">
        <f>SUMIFS('Ing-Egr Febrero 2026'!E4:E103,'Ing-Egr Febrero 2026'!B4:B103,"Ingreso Marco",'Ing-Egr Febrero 2026'!C4:C103,A11)</f>
        <v/>
      </c>
      <c r="E11" s="359" t="n"/>
      <c r="F11" s="360" t="n"/>
      <c r="G11" s="359" t="n"/>
      <c r="H11" s="301" t="n"/>
      <c r="I11" s="301" t="n"/>
      <c r="J11" s="301" t="n"/>
      <c r="K11" s="301" t="n"/>
      <c r="L11" s="301" t="n"/>
    </row>
    <row r="12" ht="15" customHeight="1" s="221">
      <c r="A12" s="363" t="inlineStr">
        <is>
          <t>Aguinaldo</t>
        </is>
      </c>
      <c r="B12" s="364" t="n"/>
      <c r="C12" s="365" t="n"/>
      <c r="D12" s="366">
        <f>SUMIFS('Ing-Egr Febrero 2026'!E4:E103,'Ing-Egr Febrero 2026'!B4:B103,"Ingreso Marco",'Ing-Egr Febrero 2026'!C4:C103,A12)</f>
        <v/>
      </c>
      <c r="E12" s="359" t="n"/>
      <c r="F12" s="360" t="n"/>
      <c r="G12" s="372" t="inlineStr">
        <is>
          <t>═══ TOTAL INGRESOS NT ═══</t>
        </is>
      </c>
      <c r="H12" s="256" t="n"/>
      <c r="I12" s="353" t="n"/>
      <c r="J12" s="373">
        <f>J10</f>
        <v/>
      </c>
      <c r="K12" s="301" t="n"/>
      <c r="L12" s="301" t="n"/>
    </row>
    <row r="13" ht="15" customHeight="1" s="221">
      <c r="A13" s="369" t="inlineStr">
        <is>
          <t>Viático</t>
        </is>
      </c>
      <c r="B13" s="370" t="n"/>
      <c r="C13" s="371" t="n"/>
      <c r="D13" s="366">
        <f>SUMIFS('Ing-Egr Febrero 2026'!E4:E103,'Ing-Egr Febrero 2026'!B4:B103,"Ingreso Marco",'Ing-Egr Febrero 2026'!C4:C103,A13)</f>
        <v/>
      </c>
      <c r="E13" s="359" t="n"/>
      <c r="F13" s="360" t="n"/>
      <c r="G13" s="359" t="n"/>
      <c r="H13" s="301" t="n"/>
      <c r="I13" s="301" t="n"/>
      <c r="J13" s="301" t="n"/>
      <c r="K13" s="301" t="n"/>
      <c r="L13" s="301" t="n"/>
    </row>
    <row r="14" ht="15" customHeight="1" s="221">
      <c r="A14" s="363" t="inlineStr">
        <is>
          <t>Animador Bíblico</t>
        </is>
      </c>
      <c r="B14" s="364" t="n"/>
      <c r="C14" s="365" t="n"/>
      <c r="D14" s="366">
        <f>SUMIFS('Ing-Egr Febrero 2026'!E4:E103,'Ing-Egr Febrero 2026'!B4:B103,"Ingreso Marco",'Ing-Egr Febrero 2026'!C4:C103,A14)</f>
        <v/>
      </c>
      <c r="E14" s="359" t="n"/>
      <c r="F14" s="360" t="n"/>
      <c r="G14" s="359" t="n"/>
      <c r="H14" s="301" t="n"/>
      <c r="I14" s="301" t="n"/>
      <c r="J14" s="301" t="n"/>
      <c r="K14" s="301" t="n"/>
      <c r="L14" s="301" t="n"/>
    </row>
    <row r="15" ht="15" customHeight="1" s="221">
      <c r="A15" s="369" t="inlineStr">
        <is>
          <t>Otros Ocasionales</t>
        </is>
      </c>
      <c r="B15" s="370" t="n"/>
      <c r="C15" s="371" t="n"/>
      <c r="D15" s="366">
        <f>SUMIFS('Ing-Egr Febrero 2026'!E4:E103,'Ing-Egr Febrero 2026'!B4:B103,"Ingreso Marco",'Ing-Egr Febrero 2026'!C4:C103,A15)</f>
        <v/>
      </c>
      <c r="E15" s="359" t="n"/>
      <c r="F15" s="360" t="n"/>
      <c r="G15" s="359" t="n"/>
      <c r="H15" s="301" t="n"/>
      <c r="I15" s="374">
        <f>J12</f>
        <v/>
      </c>
      <c r="J15" s="301" t="n"/>
      <c r="K15" s="301" t="n"/>
      <c r="L15" s="301" t="n"/>
    </row>
    <row r="16" ht="15" customHeight="1" s="221">
      <c r="A16" s="375" t="inlineStr">
        <is>
          <t>TOTAL MARCO</t>
        </is>
      </c>
      <c r="B16" s="360" t="n"/>
      <c r="C16" s="359" t="n"/>
      <c r="D16" s="376">
        <f>SUM(D10:D15)</f>
        <v/>
      </c>
      <c r="E16" s="359" t="n"/>
      <c r="F16" s="360" t="n"/>
      <c r="G16" s="359" t="n"/>
      <c r="H16" s="301" t="n"/>
      <c r="I16" s="301" t="n"/>
      <c r="J16" s="301" t="n"/>
      <c r="K16" s="301" t="n"/>
      <c r="L16" s="301" t="n"/>
    </row>
    <row r="17" ht="15" customHeight="1" s="221">
      <c r="A17" s="377" t="inlineStr">
        <is>
          <t>CLARA</t>
        </is>
      </c>
      <c r="B17" s="353" t="n"/>
      <c r="C17" s="378" t="inlineStr">
        <is>
          <t>Fecha</t>
        </is>
      </c>
      <c r="D17" s="379" t="inlineStr">
        <is>
          <t>Monto</t>
        </is>
      </c>
      <c r="E17" s="359" t="n"/>
      <c r="F17" s="360" t="n"/>
      <c r="G17" s="359" t="n"/>
      <c r="H17" s="301" t="n"/>
      <c r="I17" s="301" t="n"/>
      <c r="J17" s="301" t="n"/>
      <c r="K17" s="301" t="n"/>
      <c r="L17" s="301" t="n"/>
    </row>
    <row r="18" ht="15" customHeight="1" s="221">
      <c r="A18" s="380" t="inlineStr">
        <is>
          <t>Honorarios Diarios</t>
        </is>
      </c>
      <c r="B18" s="381" t="n"/>
      <c r="C18" s="382" t="n"/>
      <c r="D18" s="383">
        <f>SUMIF('Ing-Egr Febrero 2026'!B4:B103,"Ingreso Clara",'Ing-Egr Febrero 2026'!E4:E103)</f>
        <v/>
      </c>
      <c r="E18" s="359" t="n"/>
      <c r="F18" s="360" t="n"/>
      <c r="G18" s="359" t="n"/>
      <c r="H18" s="301" t="n"/>
      <c r="I18" s="301" t="n"/>
      <c r="J18" s="301" t="n"/>
      <c r="K18" s="301" t="n"/>
      <c r="L18" s="301" t="n"/>
    </row>
    <row r="19" ht="15" customHeight="1" s="221">
      <c r="A19" s="384" t="inlineStr">
        <is>
          <t>TOTAL CLARA</t>
        </is>
      </c>
      <c r="B19" s="301" t="n"/>
      <c r="C19" s="301" t="n"/>
      <c r="D19" s="385">
        <f>D18</f>
        <v/>
      </c>
      <c r="E19" s="359" t="n"/>
      <c r="F19" s="360" t="n"/>
      <c r="G19" s="359" t="n"/>
      <c r="H19" s="301" t="n"/>
      <c r="I19" s="301" t="n"/>
      <c r="J19" s="301" t="n"/>
      <c r="K19" s="301" t="n"/>
      <c r="L19" s="301" t="n"/>
    </row>
    <row r="20" ht="15" customHeight="1" s="221">
      <c r="A20" s="386" t="inlineStr">
        <is>
          <t>DESDE NEUROTEA</t>
        </is>
      </c>
      <c r="D20" s="387" t="inlineStr">
        <is>
          <t>Monto</t>
        </is>
      </c>
      <c r="E20" s="359" t="n"/>
      <c r="F20" s="360" t="n"/>
      <c r="G20" s="359" t="n"/>
      <c r="H20" s="301" t="n"/>
      <c r="I20" s="301" t="n"/>
      <c r="J20" s="301" t="n"/>
      <c r="K20" s="301" t="n"/>
      <c r="L20" s="301" t="n"/>
    </row>
    <row r="21" ht="15" customHeight="1" s="221">
      <c r="A21" s="388" t="inlineStr">
        <is>
          <t>Salario Admin Marco</t>
        </is>
      </c>
      <c r="B21" s="388" t="n"/>
      <c r="C21" s="388" t="n"/>
      <c r="D21" s="389" t="n">
        <v>0</v>
      </c>
      <c r="E21" s="359" t="n"/>
      <c r="F21" s="360" t="n"/>
      <c r="G21" s="359" t="n"/>
      <c r="H21" s="301" t="n"/>
      <c r="I21" s="301" t="n"/>
      <c r="J21" s="301" t="n"/>
      <c r="K21" s="301" t="n"/>
      <c r="L21" s="301" t="n"/>
    </row>
    <row r="22" ht="15" customHeight="1" s="221">
      <c r="A22" s="390" t="inlineStr">
        <is>
          <t>Ganancia NT → Familia</t>
        </is>
      </c>
      <c r="B22" s="390" t="n"/>
      <c r="C22" s="390" t="n"/>
      <c r="D22" s="391" t="n">
        <v>0</v>
      </c>
      <c r="E22" s="359" t="n"/>
      <c r="F22" s="360" t="n"/>
      <c r="G22" s="359" t="n"/>
      <c r="H22" s="301" t="n"/>
      <c r="I22" s="301" t="n"/>
      <c r="J22" s="301" t="n"/>
      <c r="K22" s="301" t="n"/>
      <c r="L22" s="301" t="n"/>
    </row>
    <row r="23" ht="15" customHeight="1" s="221">
      <c r="A23" s="388" t="inlineStr">
        <is>
          <t>Préstamo NT (automático)</t>
        </is>
      </c>
      <c r="B23" s="388" t="n"/>
      <c r="C23" s="388" t="n"/>
      <c r="D23" s="389">
        <f>D6</f>
        <v/>
      </c>
      <c r="E23" s="359" t="n"/>
      <c r="F23" s="360" t="n"/>
      <c r="G23" s="359" t="n"/>
      <c r="H23" s="301" t="n"/>
      <c r="I23" s="301" t="n"/>
      <c r="J23" s="301" t="n"/>
      <c r="K23" s="301" t="n"/>
      <c r="L23" s="301" t="n"/>
    </row>
    <row r="24" ht="15" customHeight="1" s="221">
      <c r="A24" s="392" t="inlineStr">
        <is>
          <t>TOTAL DESDE NT</t>
        </is>
      </c>
      <c r="B24" s="301" t="n"/>
      <c r="C24" s="301" t="n"/>
      <c r="D24" s="393">
        <f>SUM(D21:D23)</f>
        <v/>
      </c>
      <c r="E24" s="359" t="n"/>
      <c r="F24" s="360" t="n"/>
      <c r="G24" s="359" t="n"/>
      <c r="H24" s="301" t="n"/>
      <c r="I24" s="301" t="n"/>
      <c r="J24" s="301" t="n"/>
      <c r="K24" s="301" t="n"/>
      <c r="L24" s="301" t="n"/>
    </row>
    <row r="25" ht="15" customHeight="1" s="221">
      <c r="A25" s="301" t="n"/>
      <c r="B25" s="301" t="n"/>
      <c r="C25" s="301" t="n"/>
      <c r="D25" s="360" t="n"/>
      <c r="E25" s="359" t="n"/>
      <c r="F25" s="360" t="n"/>
      <c r="G25" s="359" t="n"/>
      <c r="H25" s="301" t="n"/>
      <c r="I25" s="301" t="n"/>
      <c r="J25" s="301" t="n"/>
      <c r="K25" s="301" t="n"/>
      <c r="L25" s="301" t="n"/>
    </row>
    <row r="26" ht="15" customHeight="1" s="221">
      <c r="A26" s="223" t="inlineStr">
        <is>
          <t>═══ TOTAL INGRESOS FAMILIA ═══</t>
        </is>
      </c>
      <c r="D26" s="394">
        <f>D16+D19+D24</f>
        <v/>
      </c>
      <c r="E26" s="359" t="n"/>
      <c r="F26" s="360" t="n"/>
      <c r="G26" s="359" t="n"/>
      <c r="H26" s="301" t="n"/>
      <c r="I26" s="301" t="n"/>
      <c r="J26" s="301" t="n"/>
      <c r="K26" s="301" t="n"/>
      <c r="L26" s="301" t="n"/>
    </row>
    <row r="27" ht="15" customHeight="1" s="221">
      <c r="A27" s="301" t="n"/>
      <c r="B27" s="301" t="n"/>
      <c r="C27" s="301" t="n"/>
      <c r="D27" s="360" t="n"/>
      <c r="E27" s="359" t="n"/>
      <c r="F27" s="360" t="n"/>
      <c r="G27" s="359" t="n"/>
      <c r="H27" s="301" t="n"/>
      <c r="I27" s="301" t="n"/>
      <c r="J27" s="301" t="n"/>
      <c r="K27" s="301" t="n"/>
      <c r="L27" s="301" t="n"/>
    </row>
    <row r="28" ht="15.75" customHeight="1" s="221">
      <c r="A28" s="395" t="inlineStr">
        <is>
          <t>📉 GASTOS FAMILIARES</t>
        </is>
      </c>
      <c r="E28" s="328" t="n"/>
      <c r="F28" s="301" t="n"/>
      <c r="G28" s="396" t="inlineStr">
        <is>
          <t>📉 GASTOS NEUROTEA</t>
        </is>
      </c>
      <c r="K28" s="301" t="n"/>
      <c r="L28" s="301" t="n"/>
    </row>
    <row r="29" ht="15" customHeight="1" s="221">
      <c r="A29" s="397" t="inlineStr">
        <is>
          <t>Detalle</t>
        </is>
      </c>
      <c r="B29" s="397" t="inlineStr">
        <is>
          <t>Estado</t>
        </is>
      </c>
      <c r="C29" s="397" t="inlineStr">
        <is>
          <t>Monto</t>
        </is>
      </c>
      <c r="D29" s="397" t="inlineStr">
        <is>
          <t>Venc.</t>
        </is>
      </c>
      <c r="E29" s="301" t="n"/>
      <c r="F29" s="301" t="n"/>
      <c r="G29" s="398" t="inlineStr">
        <is>
          <t>Detalle</t>
        </is>
      </c>
      <c r="H29" s="398" t="inlineStr">
        <is>
          <t>Estado</t>
        </is>
      </c>
      <c r="I29" s="398" t="inlineStr">
        <is>
          <t>Monto</t>
        </is>
      </c>
      <c r="J29" s="398" t="inlineStr">
        <is>
          <t>Venc.</t>
        </is>
      </c>
      <c r="K29" s="301" t="n"/>
      <c r="L29" s="301" t="n"/>
    </row>
    <row r="30" ht="15.75" customHeight="1" s="221">
      <c r="A30" s="399" t="inlineStr">
        <is>
          <t>► GASTOS FIJOS ✏️</t>
        </is>
      </c>
      <c r="E30" s="301" t="n"/>
      <c r="F30" s="301" t="n"/>
      <c r="G30" s="400" t="inlineStr">
        <is>
          <t>► GASTOS FIJOS ✏️</t>
        </is>
      </c>
      <c r="K30" s="301" t="n"/>
      <c r="L30" s="301" t="n"/>
    </row>
    <row r="31" ht="15" customHeight="1" s="221">
      <c r="A31" s="401" t="inlineStr">
        <is>
          <t>Salario Lili Doméstico</t>
        </is>
      </c>
      <c r="B31" s="401" t="inlineStr">
        <is>
          <t>Ninguno</t>
        </is>
      </c>
      <c r="C31" s="402" t="n"/>
      <c r="D31" s="458" t="n"/>
      <c r="E31" s="301" t="n"/>
      <c r="F31" s="301" t="n"/>
      <c r="G31" s="403" t="inlineStr">
        <is>
          <t>Alquiler 1 (Principal)</t>
        </is>
      </c>
      <c r="H31" s="403" t="inlineStr">
        <is>
          <t>Ninguno</t>
        </is>
      </c>
      <c r="I31" s="404" t="n">
        <v>0</v>
      </c>
      <c r="J31" s="459" t="n"/>
      <c r="K31" s="301" t="n"/>
      <c r="L31" s="301" t="n"/>
    </row>
    <row r="32" ht="15" customHeight="1" s="221">
      <c r="A32" s="405" t="inlineStr">
        <is>
          <t>Salario Laura Doméstico</t>
        </is>
      </c>
      <c r="B32" s="405" t="inlineStr">
        <is>
          <t>Ninguno</t>
        </is>
      </c>
      <c r="C32" s="406" t="n"/>
      <c r="D32" s="460" t="n"/>
      <c r="E32" s="301" t="n"/>
      <c r="F32" s="301" t="n"/>
      <c r="G32" s="407" t="inlineStr">
        <is>
          <t>Alquiler 2 (Secundario)</t>
        </is>
      </c>
      <c r="H32" s="407" t="inlineStr">
        <is>
          <t>Ninguno</t>
        </is>
      </c>
      <c r="I32" s="408" t="n">
        <v>0</v>
      </c>
      <c r="J32" s="461" t="n"/>
      <c r="K32" s="301" t="n"/>
      <c r="L32" s="301" t="n"/>
    </row>
    <row r="33" ht="15" customHeight="1" s="221">
      <c r="A33" s="401" t="inlineStr">
        <is>
          <t>Escuela Fabián y Brenda</t>
        </is>
      </c>
      <c r="B33" s="401" t="inlineStr">
        <is>
          <t>Ninguno</t>
        </is>
      </c>
      <c r="C33" s="402" t="n"/>
      <c r="D33" s="458" t="n"/>
      <c r="E33" s="301" t="n"/>
      <c r="F33" s="301" t="n"/>
      <c r="G33" s="403" t="inlineStr">
        <is>
          <t>Limpieza NeuroTEA</t>
        </is>
      </c>
      <c r="H33" s="403" t="inlineStr">
        <is>
          <t>Ninguno</t>
        </is>
      </c>
      <c r="I33" s="404" t="n">
        <v>0</v>
      </c>
      <c r="J33" s="459" t="n"/>
      <c r="K33" s="301" t="n"/>
      <c r="L33" s="301" t="n"/>
    </row>
    <row r="34" ht="15" customHeight="1" s="221">
      <c r="A34" s="405" t="inlineStr">
        <is>
          <t>Robótica Niños</t>
        </is>
      </c>
      <c r="B34" s="405" t="inlineStr">
        <is>
          <t>Ninguno</t>
        </is>
      </c>
      <c r="C34" s="406" t="n"/>
      <c r="D34" s="460" t="n"/>
      <c r="E34" s="301" t="n"/>
      <c r="F34" s="301" t="n"/>
      <c r="G34" s="400" t="inlineStr">
        <is>
          <t>► SUELDOS Y HONORARIOS ✏️</t>
        </is>
      </c>
      <c r="K34" s="301" t="n"/>
      <c r="L34" s="301" t="n"/>
    </row>
    <row r="35" ht="15" customHeight="1" s="221">
      <c r="A35" s="410" t="inlineStr">
        <is>
          <t>ANDE Casa</t>
        </is>
      </c>
      <c r="B35" s="410" t="inlineStr">
        <is>
          <t>Ninguno</t>
        </is>
      </c>
      <c r="C35" s="411" t="n"/>
      <c r="D35" s="463" t="n"/>
      <c r="E35" s="301" t="n"/>
      <c r="F35" s="301" t="n"/>
      <c r="G35" s="403" t="inlineStr">
        <is>
          <t>Sueldo Aracely</t>
        </is>
      </c>
      <c r="H35" s="403" t="inlineStr">
        <is>
          <t>Ninguno</t>
        </is>
      </c>
      <c r="I35" s="404" t="n">
        <v>0</v>
      </c>
      <c r="J35" s="459" t="n"/>
      <c r="K35" s="301" t="n"/>
      <c r="L35" s="301" t="n"/>
    </row>
    <row r="36" ht="15" customHeight="1" s="221">
      <c r="A36" s="405" t="inlineStr">
        <is>
          <t>Expensa Casa</t>
        </is>
      </c>
      <c r="B36" s="405" t="inlineStr">
        <is>
          <t>Ninguno</t>
        </is>
      </c>
      <c r="C36" s="406" t="n"/>
      <c r="D36" s="460" t="n"/>
      <c r="E36" s="301" t="n"/>
      <c r="F36" s="301" t="n"/>
      <c r="G36" s="407" t="inlineStr">
        <is>
          <t>Sueldo Fátima</t>
        </is>
      </c>
      <c r="H36" s="407" t="inlineStr">
        <is>
          <t>Ninguno</t>
        </is>
      </c>
      <c r="I36" s="408" t="n">
        <v>0</v>
      </c>
      <c r="J36" s="461" t="n"/>
      <c r="K36" s="301" t="n"/>
      <c r="L36" s="301" t="n"/>
    </row>
    <row r="37" ht="15" customHeight="1" s="221">
      <c r="A37" s="410" t="inlineStr">
        <is>
          <t>Cajubi Marco</t>
        </is>
      </c>
      <c r="B37" s="410" t="inlineStr">
        <is>
          <t>Ninguno</t>
        </is>
      </c>
      <c r="C37" s="411" t="n"/>
      <c r="D37" s="463" t="n"/>
      <c r="E37" s="301" t="n"/>
      <c r="F37" s="301" t="n"/>
      <c r="G37" s="403" t="inlineStr">
        <is>
          <t>Honorario Contador</t>
        </is>
      </c>
      <c r="H37" s="403" t="inlineStr">
        <is>
          <t>Ninguno</t>
        </is>
      </c>
      <c r="I37" s="404" t="n">
        <v>0</v>
      </c>
      <c r="J37" s="459" t="n"/>
      <c r="K37" s="301" t="n"/>
      <c r="L37" s="301" t="n"/>
    </row>
    <row r="38" ht="15" customHeight="1" s="221">
      <c r="A38" s="405" t="inlineStr">
        <is>
          <t>Mutual Marco</t>
        </is>
      </c>
      <c r="B38" s="405" t="inlineStr">
        <is>
          <t>Ninguno</t>
        </is>
      </c>
      <c r="C38" s="406" t="n"/>
      <c r="D38" s="460" t="n"/>
      <c r="E38" s="301" t="n"/>
      <c r="F38" s="301" t="n"/>
      <c r="G38" s="407" t="inlineStr">
        <is>
          <t>Salario Administrador</t>
        </is>
      </c>
      <c r="H38" s="407" t="inlineStr">
        <is>
          <t>Ninguno</t>
        </is>
      </c>
      <c r="I38" s="408" t="n">
        <v>0</v>
      </c>
      <c r="J38" s="461" t="n"/>
      <c r="K38" s="301" t="n"/>
      <c r="L38" s="301" t="n"/>
    </row>
    <row r="39" ht="15" customHeight="1" s="221">
      <c r="A39" s="410" t="inlineStr">
        <is>
          <t>Ña Luisa</t>
        </is>
      </c>
      <c r="B39" s="410" t="inlineStr">
        <is>
          <t>Ninguno</t>
        </is>
      </c>
      <c r="C39" s="411" t="n"/>
      <c r="D39" s="463" t="n"/>
      <c r="E39" s="301" t="n"/>
      <c r="F39" s="301" t="n"/>
      <c r="G39" s="403" t="inlineStr">
        <is>
          <t>Honorario Mant. Sistema</t>
        </is>
      </c>
      <c r="H39" s="403" t="inlineStr">
        <is>
          <t>Ninguno</t>
        </is>
      </c>
      <c r="I39" s="404" t="n">
        <v>0</v>
      </c>
      <c r="J39" s="459" t="n"/>
      <c r="K39" s="301" t="n"/>
      <c r="L39" s="301" t="n"/>
    </row>
    <row r="40" ht="15" customHeight="1" s="221">
      <c r="A40" s="405" t="inlineStr">
        <is>
          <t>Seguro Médico Papá y Mamá</t>
        </is>
      </c>
      <c r="B40" s="405" t="inlineStr">
        <is>
          <t>Ninguno</t>
        </is>
      </c>
      <c r="C40" s="406" t="n"/>
      <c r="D40" s="460" t="n"/>
      <c r="E40" s="301" t="n"/>
      <c r="F40" s="301" t="n"/>
      <c r="G40" s="400" t="inlineStr">
        <is>
          <t>► TELEFONÍA E INTERNET ✏️</t>
        </is>
      </c>
      <c r="K40" s="301" t="n"/>
      <c r="L40" s="301" t="n"/>
    </row>
    <row r="41" ht="15" customHeight="1" s="221">
      <c r="A41" s="413" t="inlineStr">
        <is>
          <t>► CUOTAS Y PRÉSTAMOS ✏️</t>
        </is>
      </c>
      <c r="B41" s="256" t="n"/>
      <c r="C41" s="256" t="n"/>
      <c r="D41" s="353" t="n"/>
      <c r="E41" s="301" t="n"/>
      <c r="F41" s="301" t="n"/>
      <c r="G41" s="403" t="inlineStr">
        <is>
          <t>Celular Tigo NeuroTEA</t>
        </is>
      </c>
      <c r="H41" s="403" t="inlineStr">
        <is>
          <t>Ninguno</t>
        </is>
      </c>
      <c r="I41" s="404" t="n">
        <v>0</v>
      </c>
      <c r="J41" s="459" t="n"/>
      <c r="K41" s="301" t="n"/>
      <c r="L41" s="301" t="n"/>
    </row>
    <row r="42" ht="15" customHeight="1" s="221">
      <c r="A42" s="410" t="inlineStr">
        <is>
          <t>Auto Laura Cuota</t>
        </is>
      </c>
      <c r="B42" s="410" t="inlineStr">
        <is>
          <t>Ninguno</t>
        </is>
      </c>
      <c r="C42" s="411" t="n"/>
      <c r="D42" s="463" t="n"/>
      <c r="E42" s="301" t="n"/>
      <c r="F42" s="301" t="n"/>
      <c r="G42" s="407" t="inlineStr">
        <is>
          <t>Celular Tigo Sistema</t>
        </is>
      </c>
      <c r="H42" s="407" t="inlineStr">
        <is>
          <t>Ninguno</t>
        </is>
      </c>
      <c r="I42" s="408" t="n">
        <v>0</v>
      </c>
      <c r="J42" s="461" t="n"/>
      <c r="K42" s="301" t="n"/>
      <c r="L42" s="301" t="n"/>
    </row>
    <row r="43" ht="15" customHeight="1" s="221">
      <c r="A43" s="405" t="inlineStr">
        <is>
          <t>Coop. Universitaria Clara</t>
        </is>
      </c>
      <c r="B43" s="405" t="inlineStr">
        <is>
          <t>Ninguno</t>
        </is>
      </c>
      <c r="C43" s="406" t="n"/>
      <c r="D43" s="460" t="n"/>
      <c r="E43" s="301" t="n"/>
      <c r="F43" s="301" t="n"/>
      <c r="G43" s="403" t="inlineStr">
        <is>
          <t>WhatsFlow</t>
        </is>
      </c>
      <c r="H43" s="403" t="inlineStr">
        <is>
          <t>Ninguno</t>
        </is>
      </c>
      <c r="I43" s="404" t="n">
        <v>0</v>
      </c>
      <c r="J43" s="459" t="n"/>
      <c r="K43" s="301" t="n"/>
      <c r="L43" s="301" t="n"/>
    </row>
    <row r="44" ht="15" customHeight="1" s="221">
      <c r="A44" s="410" t="inlineStr">
        <is>
          <t>Coomecipar Clara</t>
        </is>
      </c>
      <c r="B44" s="410" t="inlineStr">
        <is>
          <t>Ninguno</t>
        </is>
      </c>
      <c r="C44" s="411" t="n"/>
      <c r="D44" s="463" t="n"/>
      <c r="E44" s="301" t="n"/>
      <c r="F44" s="301" t="n"/>
      <c r="G44" s="407" t="inlineStr">
        <is>
          <t>Internet NeuroTEA</t>
        </is>
      </c>
      <c r="H44" s="407" t="inlineStr">
        <is>
          <t>Ninguno</t>
        </is>
      </c>
      <c r="I44" s="408" t="n">
        <v>0</v>
      </c>
      <c r="J44" s="461" t="n"/>
      <c r="K44" s="301" t="n"/>
      <c r="L44" s="301" t="n"/>
    </row>
    <row r="45" ht="15" customHeight="1" s="221">
      <c r="A45" s="414" t="inlineStr">
        <is>
          <t>Tarjeta Cred. Coomecipar</t>
        </is>
      </c>
      <c r="B45" s="414" t="inlineStr">
        <is>
          <t>Ninguno</t>
        </is>
      </c>
      <c r="C45" s="415" t="n"/>
      <c r="D45" s="465" t="n"/>
      <c r="E45" s="301" t="n"/>
      <c r="F45" s="301" t="n"/>
      <c r="G45" s="400" t="inlineStr">
        <is>
          <t>► IMPUESTOS ✏️</t>
        </is>
      </c>
      <c r="K45" s="301" t="n"/>
      <c r="L45" s="301" t="n"/>
    </row>
    <row r="46" ht="15" customHeight="1" s="221">
      <c r="A46" s="401" t="inlineStr">
        <is>
          <t>Solar Préstamo 1</t>
        </is>
      </c>
      <c r="B46" s="401" t="inlineStr">
        <is>
          <t>Ninguno</t>
        </is>
      </c>
      <c r="C46" s="402" t="n"/>
      <c r="D46" s="458" t="n"/>
      <c r="E46" s="301" t="n"/>
      <c r="F46" s="301" t="n"/>
      <c r="G46" s="403" t="inlineStr">
        <is>
          <t>IVA</t>
        </is>
      </c>
      <c r="H46" s="403" t="inlineStr">
        <is>
          <t>Ninguno</t>
        </is>
      </c>
      <c r="I46" s="404" t="n">
        <v>0</v>
      </c>
      <c r="J46" s="459" t="n"/>
      <c r="K46" s="301" t="n"/>
      <c r="L46" s="301" t="n"/>
    </row>
    <row r="47" ht="15" customHeight="1" s="221">
      <c r="A47" s="405" t="inlineStr">
        <is>
          <t>Solar Préstamo 2</t>
        </is>
      </c>
      <c r="B47" s="405" t="inlineStr">
        <is>
          <t>Ninguno</t>
        </is>
      </c>
      <c r="C47" s="406" t="n"/>
      <c r="D47" s="460" t="n"/>
      <c r="E47" s="301" t="n"/>
      <c r="F47" s="301" t="n"/>
      <c r="G47" s="400" t="inlineStr">
        <is>
          <t>► EVENTOS NT ✏️</t>
        </is>
      </c>
      <c r="K47" s="301" t="n"/>
      <c r="L47" s="301" t="n"/>
    </row>
    <row r="48" ht="15" customHeight="1" s="221">
      <c r="A48" s="410" t="inlineStr">
        <is>
          <t>Préstamo Lizzi Sueldos</t>
        </is>
      </c>
      <c r="B48" s="410" t="inlineStr">
        <is>
          <t>Ninguno</t>
        </is>
      </c>
      <c r="C48" s="411" t="n"/>
      <c r="D48" s="463" t="n"/>
      <c r="E48" s="301" t="n"/>
      <c r="F48" s="301" t="n"/>
      <c r="G48" s="403" t="inlineStr">
        <is>
          <t>Día del Niño NT</t>
        </is>
      </c>
      <c r="H48" s="403" t="inlineStr">
        <is>
          <t>Ninguno</t>
        </is>
      </c>
      <c r="I48" s="404" t="n">
        <v>0</v>
      </c>
      <c r="J48" s="459" t="n"/>
      <c r="K48" s="301" t="n"/>
      <c r="L48" s="301" t="n"/>
    </row>
    <row r="49" ht="15" customHeight="1" s="221">
      <c r="A49" s="405" t="inlineStr">
        <is>
          <t>Show Congelador</t>
        </is>
      </c>
      <c r="B49" s="405" t="inlineStr">
        <is>
          <t>Ninguno</t>
        </is>
      </c>
      <c r="C49" s="406" t="n"/>
      <c r="D49" s="460" t="n"/>
      <c r="E49" s="301" t="n"/>
      <c r="F49" s="301" t="n"/>
      <c r="G49" s="407" t="inlineStr">
        <is>
          <t>San Juan NT</t>
        </is>
      </c>
      <c r="H49" s="407" t="inlineStr">
        <is>
          <t>Ninguno</t>
        </is>
      </c>
      <c r="I49" s="408" t="n">
        <v>0</v>
      </c>
      <c r="J49" s="461" t="n"/>
      <c r="K49" s="301" t="n"/>
      <c r="L49" s="301" t="n"/>
    </row>
    <row r="50" ht="15" customHeight="1" s="221">
      <c r="A50" s="410" t="inlineStr">
        <is>
          <t>Olier Heladera</t>
        </is>
      </c>
      <c r="B50" s="410" t="inlineStr">
        <is>
          <t>Ninguno</t>
        </is>
      </c>
      <c r="C50" s="411" t="n"/>
      <c r="D50" s="463" t="n"/>
      <c r="E50" s="301" t="n"/>
      <c r="F50" s="301" t="n"/>
      <c r="G50" s="403" t="inlineStr">
        <is>
          <t>Día del Autismo NT</t>
        </is>
      </c>
      <c r="H50" s="403" t="inlineStr">
        <is>
          <t>Ninguno</t>
        </is>
      </c>
      <c r="I50" s="404" t="n">
        <v>0</v>
      </c>
      <c r="J50" s="459" t="n"/>
      <c r="K50" s="301" t="n"/>
      <c r="L50" s="301" t="n"/>
    </row>
    <row r="51" ht="15" customHeight="1" s="221">
      <c r="A51" s="413" t="inlineStr">
        <is>
          <t>► SUSCRIPCIONES E INTERNET ✏️</t>
        </is>
      </c>
      <c r="B51" s="256" t="n"/>
      <c r="C51" s="256" t="n"/>
      <c r="D51" s="353" t="n"/>
      <c r="E51" s="301" t="n"/>
      <c r="F51" s="301" t="n"/>
      <c r="G51" s="407" t="inlineStr">
        <is>
          <t>Clausura Padres NT</t>
        </is>
      </c>
      <c r="H51" s="407" t="inlineStr">
        <is>
          <t>Ninguno</t>
        </is>
      </c>
      <c r="I51" s="408" t="n">
        <v>0</v>
      </c>
      <c r="J51" s="461" t="n"/>
      <c r="K51" s="301" t="n"/>
      <c r="L51" s="301" t="n"/>
    </row>
    <row r="52" ht="15" customHeight="1" s="221">
      <c r="A52" s="410" t="inlineStr">
        <is>
          <t>Giganet</t>
        </is>
      </c>
      <c r="B52" s="410" t="inlineStr">
        <is>
          <t>Ninguno</t>
        </is>
      </c>
      <c r="C52" s="411" t="n"/>
      <c r="D52" s="463" t="n"/>
      <c r="E52" s="301" t="n"/>
      <c r="F52" s="301" t="n"/>
      <c r="G52" s="403" t="inlineStr">
        <is>
          <t>Navidad Papá Noel NT</t>
        </is>
      </c>
      <c r="H52" s="403" t="inlineStr">
        <is>
          <t>Ninguno</t>
        </is>
      </c>
      <c r="I52" s="404" t="n">
        <v>0</v>
      </c>
      <c r="J52" s="459" t="n"/>
      <c r="K52" s="301" t="n"/>
      <c r="L52" s="301" t="n"/>
    </row>
    <row r="53" ht="15" customHeight="1" s="221">
      <c r="A53" s="405" t="inlineStr">
        <is>
          <t>Tigo Internet/Celulares</t>
        </is>
      </c>
      <c r="B53" s="405" t="inlineStr">
        <is>
          <t>Ninguno</t>
        </is>
      </c>
      <c r="C53" s="406" t="n"/>
      <c r="D53" s="460" t="n"/>
      <c r="E53" s="301" t="n"/>
      <c r="F53" s="301" t="n"/>
      <c r="G53" s="407" t="inlineStr">
        <is>
          <t>Cena Fin de Año NT</t>
        </is>
      </c>
      <c r="H53" s="407" t="inlineStr">
        <is>
          <t>Ninguno</t>
        </is>
      </c>
      <c r="I53" s="408" t="n">
        <v>0</v>
      </c>
      <c r="J53" s="461" t="n"/>
      <c r="K53" s="301" t="n"/>
      <c r="L53" s="301" t="n"/>
    </row>
    <row r="54" ht="15" customHeight="1" s="221">
      <c r="A54" s="410" t="inlineStr">
        <is>
          <t>Tigo Familiar</t>
        </is>
      </c>
      <c r="B54" s="410" t="inlineStr">
        <is>
          <t>Ninguno</t>
        </is>
      </c>
      <c r="C54" s="411" t="n"/>
      <c r="D54" s="463" t="n"/>
      <c r="E54" s="301" t="n"/>
      <c r="F54" s="301" t="n"/>
      <c r="G54" s="400" t="inlineStr">
        <is>
          <t>► GASTOS VARIABLES NT 🔗</t>
        </is>
      </c>
      <c r="K54" s="301" t="n"/>
      <c r="L54" s="301" t="n"/>
    </row>
    <row r="55" ht="15" customHeight="1" s="221">
      <c r="A55" s="405" t="inlineStr">
        <is>
          <t>Google One</t>
        </is>
      </c>
      <c r="B55" s="405" t="inlineStr">
        <is>
          <t>Ninguno</t>
        </is>
      </c>
      <c r="C55" s="406" t="n"/>
      <c r="D55" s="460" t="n"/>
      <c r="E55" s="301" t="n"/>
      <c r="F55" s="301" t="n"/>
      <c r="G55" s="403" t="inlineStr">
        <is>
          <t>Insumos NT</t>
        </is>
      </c>
      <c r="H55" s="403" t="inlineStr">
        <is>
          <t>Ninguno</t>
        </is>
      </c>
      <c r="I55" s="404">
        <f>SUMIFS('Ing-Egr Febrero 2026'!F4:F103,'Ing-Egr Febrero 2026'!B4:B103,"Egreso NT",'Ing-Egr Febrero 2026'!C4:C103,G55)</f>
        <v/>
      </c>
      <c r="J55" s="459" t="n"/>
      <c r="K55" s="301" t="n"/>
      <c r="L55" s="301" t="n"/>
    </row>
    <row r="56" ht="15" customHeight="1" s="221">
      <c r="A56" s="410" t="inlineStr">
        <is>
          <t>ChatGPT</t>
        </is>
      </c>
      <c r="B56" s="410" t="inlineStr">
        <is>
          <t>Ninguno</t>
        </is>
      </c>
      <c r="C56" s="411" t="n"/>
      <c r="D56" s="463" t="n"/>
      <c r="E56" s="301" t="n"/>
      <c r="F56" s="301" t="n"/>
      <c r="G56" s="407" t="inlineStr">
        <is>
          <t>Papelería NT</t>
        </is>
      </c>
      <c r="H56" s="407" t="inlineStr">
        <is>
          <t>Ninguno</t>
        </is>
      </c>
      <c r="I56" s="408">
        <f>SUMIFS('Ing-Egr Febrero 2026'!F4:F103,'Ing-Egr Febrero 2026'!B4:B103,"Egreso NT",'Ing-Egr Febrero 2026'!C4:C103,G56)</f>
        <v/>
      </c>
      <c r="J56" s="461" t="n"/>
      <c r="K56" s="301" t="n"/>
      <c r="L56" s="301" t="n"/>
    </row>
    <row r="57" ht="15" customHeight="1" s="221">
      <c r="A57" s="414" t="inlineStr">
        <is>
          <t>Claude Marco</t>
        </is>
      </c>
      <c r="B57" s="414" t="inlineStr">
        <is>
          <t>Ninguno</t>
        </is>
      </c>
      <c r="C57" s="415" t="n"/>
      <c r="D57" s="465" t="n"/>
      <c r="E57" s="301" t="n"/>
      <c r="F57" s="301" t="n"/>
      <c r="G57" s="403" t="inlineStr">
        <is>
          <t>Mantenimiento NT</t>
        </is>
      </c>
      <c r="H57" s="403" t="inlineStr">
        <is>
          <t>Ninguno</t>
        </is>
      </c>
      <c r="I57" s="404">
        <f>SUMIFS('Ing-Egr Febrero 2026'!F4:F103,'Ing-Egr Febrero 2026'!B4:B103,"Egreso NT",'Ing-Egr Febrero 2026'!C4:C103,G57)</f>
        <v/>
      </c>
      <c r="J57" s="459" t="n"/>
      <c r="K57" s="301" t="n"/>
      <c r="L57" s="301" t="n"/>
    </row>
    <row r="58" ht="15" customHeight="1" s="221">
      <c r="A58" s="401" t="inlineStr">
        <is>
          <t>Claude Clara</t>
        </is>
      </c>
      <c r="B58" s="401" t="inlineStr">
        <is>
          <t>Ninguno</t>
        </is>
      </c>
      <c r="C58" s="402" t="n"/>
      <c r="D58" s="458" t="n"/>
      <c r="E58" s="301" t="n"/>
      <c r="F58" s="301" t="n"/>
      <c r="G58" s="407" t="inlineStr">
        <is>
          <t>Gastos Cursos NT</t>
        </is>
      </c>
      <c r="H58" s="407" t="inlineStr">
        <is>
          <t>Ninguno</t>
        </is>
      </c>
      <c r="I58" s="416">
        <f>SUMIFS('Ing-Egr Febrero 2026'!F4:F103,'Ing-Egr Febrero 2026'!B4:B103,"Egreso NT",'Ing-Egr Febrero 2026'!C4:C103,G58)</f>
        <v/>
      </c>
      <c r="J58" s="461" t="n"/>
      <c r="K58" s="301" t="n"/>
      <c r="L58" s="301" t="n"/>
    </row>
    <row r="59" ht="15" customHeight="1" s="221">
      <c r="A59" s="405" t="inlineStr">
        <is>
          <t>iLovePDF</t>
        </is>
      </c>
      <c r="B59" s="405" t="inlineStr">
        <is>
          <t>Ninguno</t>
        </is>
      </c>
      <c r="C59" s="406" t="n"/>
      <c r="D59" s="460" t="n"/>
      <c r="E59" s="301" t="n"/>
      <c r="F59" s="301" t="n"/>
      <c r="G59" s="403" t="inlineStr">
        <is>
          <t>Gastos Varios NT</t>
        </is>
      </c>
      <c r="H59" s="403" t="inlineStr">
        <is>
          <t>Ninguno</t>
        </is>
      </c>
      <c r="I59" s="417">
        <f>SUMIFS('Ing-Egr Febrero 2026'!F4:F103,'Ing-Egr Febrero 2026'!B4:B103,"Egreso NT",'Ing-Egr Febrero 2026'!C4:C103,G59)</f>
        <v/>
      </c>
      <c r="J59" s="459" t="n"/>
      <c r="K59" s="301" t="n"/>
      <c r="L59" s="301" t="n"/>
    </row>
    <row r="60" ht="15" customHeight="1" s="221">
      <c r="A60" s="410" t="inlineStr">
        <is>
          <t>Scribd</t>
        </is>
      </c>
      <c r="B60" s="410" t="inlineStr">
        <is>
          <t>Ninguno</t>
        </is>
      </c>
      <c r="C60" s="411" t="n"/>
      <c r="D60" s="463" t="n"/>
      <c r="E60" s="301" t="n"/>
      <c r="F60" s="301" t="n"/>
      <c r="G60" s="407" t="inlineStr">
        <is>
          <t>Reserva NT 1</t>
        </is>
      </c>
      <c r="H60" s="407" t="inlineStr">
        <is>
          <t>Ninguno</t>
        </is>
      </c>
      <c r="I60" s="408">
        <f>SUMIFS('Ing-Egr Febrero 2026'!F4:F103,'Ing-Egr Febrero 2026'!B4:B103,"Egreso NT",'Ing-Egr Febrero 2026'!C4:C103,G60)</f>
        <v/>
      </c>
      <c r="J60" s="461" t="n"/>
      <c r="K60" s="301" t="n"/>
      <c r="L60" s="301" t="n"/>
    </row>
    <row r="61" ht="15" customHeight="1" s="221">
      <c r="A61" s="405" t="inlineStr">
        <is>
          <t>Netflix</t>
        </is>
      </c>
      <c r="B61" s="405" t="inlineStr">
        <is>
          <t>Ninguno</t>
        </is>
      </c>
      <c r="C61" s="406" t="n"/>
      <c r="D61" s="460" t="n"/>
      <c r="E61" s="301" t="n"/>
      <c r="F61" s="301" t="n"/>
      <c r="G61" s="403" t="inlineStr">
        <is>
          <t>Reserva NT 2</t>
        </is>
      </c>
      <c r="H61" s="403" t="inlineStr">
        <is>
          <t>Ninguno</t>
        </is>
      </c>
      <c r="I61" s="404">
        <f>SUMIFS('Ing-Egr Febrero 2026'!F4:F103,'Ing-Egr Febrero 2026'!B4:B103,"Egreso NT",'Ing-Egr Febrero 2026'!C4:C103,G61)</f>
        <v/>
      </c>
      <c r="J61" s="459" t="n"/>
      <c r="K61" s="301" t="n"/>
      <c r="L61" s="301" t="n"/>
    </row>
    <row r="62" ht="15" customHeight="1" s="221">
      <c r="A62" s="413" t="inlineStr">
        <is>
          <t>► GASTOS VARIABLES 🔗</t>
        </is>
      </c>
      <c r="B62" s="256" t="n"/>
      <c r="C62" s="256" t="n"/>
      <c r="D62" s="353" t="n"/>
      <c r="E62" s="301" t="n"/>
      <c r="F62" s="301" t="n"/>
      <c r="G62" s="407" t="inlineStr">
        <is>
          <t>Reserva NT 3</t>
        </is>
      </c>
      <c r="H62" s="407" t="inlineStr">
        <is>
          <t>Ninguno</t>
        </is>
      </c>
      <c r="I62" s="408">
        <f>SUMIFS('Ing-Egr Febrero 2026'!F4:F103,'Ing-Egr Febrero 2026'!B4:B103,"Egreso NT",'Ing-Egr Febrero 2026'!C4:C103,G62)</f>
        <v/>
      </c>
      <c r="J62" s="461" t="n"/>
      <c r="K62" s="301" t="n"/>
      <c r="L62" s="301" t="n"/>
    </row>
    <row r="63" ht="15" customHeight="1" s="221">
      <c r="A63" s="410" t="inlineStr">
        <is>
          <t>Combustible</t>
        </is>
      </c>
      <c r="B63" s="410" t="inlineStr">
        <is>
          <t>Ninguno</t>
        </is>
      </c>
      <c r="C63" s="411">
        <f>SUMIFS('Ing-Egr Febrero 2026'!F4:F103,'Ing-Egr Febrero 2026'!B4:B103,"Egreso Familiar",'Ing-Egr Febrero 2026'!C4:C103,A63)</f>
        <v/>
      </c>
      <c r="D63" s="463" t="n"/>
      <c r="E63" s="301" t="n"/>
      <c r="F63" s="301" t="n"/>
      <c r="G63" s="301" t="n"/>
      <c r="H63" s="301" t="n"/>
      <c r="I63" s="301" t="n"/>
      <c r="J63" s="466" t="n"/>
      <c r="K63" s="301" t="n"/>
      <c r="L63" s="301" t="n"/>
    </row>
    <row r="64" ht="15" customHeight="1" s="221">
      <c r="A64" s="405" t="inlineStr">
        <is>
          <t>Supermercado</t>
        </is>
      </c>
      <c r="B64" s="405" t="inlineStr">
        <is>
          <t>Ninguno</t>
        </is>
      </c>
      <c r="C64" s="406">
        <f>SUMIFS('Ing-Egr Febrero 2026'!F4:F103,'Ing-Egr Febrero 2026'!B4:B103,"Egreso Familiar",'Ing-Egr Febrero 2026'!C4:C103,A64)</f>
        <v/>
      </c>
      <c r="D64" s="460" t="n"/>
      <c r="E64" s="301" t="n"/>
      <c r="F64" s="301" t="n"/>
      <c r="G64" s="418" t="inlineStr">
        <is>
          <t>TOTAL NT PAGADOS</t>
        </is>
      </c>
      <c r="I64" s="419">
        <f>SUMIF(H30:H62,"Pagado",I30:I62)</f>
        <v/>
      </c>
      <c r="J64" s="467" t="n"/>
      <c r="K64" s="301" t="n"/>
      <c r="L64" s="301" t="n"/>
    </row>
    <row r="65" ht="15" customHeight="1" s="221">
      <c r="A65" s="410" t="inlineStr">
        <is>
          <t>Farmacia</t>
        </is>
      </c>
      <c r="B65" s="410" t="inlineStr">
        <is>
          <t>Ninguno</t>
        </is>
      </c>
      <c r="C65" s="411">
        <f>SUMIFS('Ing-Egr Febrero 2026'!F4:F103,'Ing-Egr Febrero 2026'!B4:B103,"Egreso Familiar",'Ing-Egr Febrero 2026'!C4:C103,A65)</f>
        <v/>
      </c>
      <c r="D65" s="468">
        <f>C72</f>
        <v/>
      </c>
      <c r="E65" s="301" t="n"/>
      <c r="F65" s="301" t="n"/>
      <c r="G65" s="422" t="inlineStr">
        <is>
          <t>TOTAL NT PENDIENTES</t>
        </is>
      </c>
      <c r="I65" s="423">
        <f>SUMIF(H30:H62,"Pendiente",I30:I62)</f>
        <v/>
      </c>
      <c r="J65" s="469" t="n"/>
      <c r="K65" s="301" t="n"/>
      <c r="L65" s="301" t="n"/>
    </row>
    <row r="66" ht="15" customHeight="1" s="221">
      <c r="A66" s="405" t="inlineStr">
        <is>
          <t>Recreación</t>
        </is>
      </c>
      <c r="B66" s="405" t="inlineStr">
        <is>
          <t>Ninguno</t>
        </is>
      </c>
      <c r="C66" s="406">
        <f>SUMIFS('Ing-Egr Febrero 2026'!F4:F103,'Ing-Egr Febrero 2026'!B4:B103,"Egreso Familiar",'Ing-Egr Febrero 2026'!C4:C103,A66)</f>
        <v/>
      </c>
      <c r="D66" s="470">
        <f>C73</f>
        <v/>
      </c>
      <c r="E66" s="301" t="n"/>
      <c r="F66" s="301" t="n"/>
      <c r="G66" s="301" t="n"/>
      <c r="H66" s="301" t="n"/>
      <c r="I66" s="301" t="n"/>
      <c r="J66" s="466" t="n"/>
      <c r="K66" s="301" t="n"/>
      <c r="L66" s="301" t="n"/>
    </row>
    <row r="67" ht="15" customHeight="1" s="221">
      <c r="A67" s="410" t="inlineStr">
        <is>
          <t>Gastos Varios</t>
        </is>
      </c>
      <c r="B67" s="410" t="inlineStr">
        <is>
          <t>Ninguno</t>
        </is>
      </c>
      <c r="C67" s="411">
        <f>SUMIFS('Ing-Egr Febrero 2026'!F4:F103,'Ing-Egr Febrero 2026'!B4:B103,"Egreso Familiar",'Ing-Egr Febrero 2026'!C4:C103,A67)</f>
        <v/>
      </c>
      <c r="D67" s="463" t="n"/>
      <c r="E67" s="301" t="n"/>
      <c r="F67" s="301" t="n"/>
      <c r="G67" s="386" t="inlineStr">
        <is>
          <t>📊 SALUD FINANCIERA NEUROTEA</t>
        </is>
      </c>
      <c r="L67" s="301" t="n"/>
    </row>
    <row r="68" ht="15" customHeight="1" s="221">
      <c r="A68" s="405" t="inlineStr">
        <is>
          <t>Reserva Fam 1</t>
        </is>
      </c>
      <c r="B68" s="405" t="inlineStr">
        <is>
          <t>Ninguno</t>
        </is>
      </c>
      <c r="C68" s="406">
        <f>SUMIFS('Ing-Egr Febrero 2026'!F4:F103,'Ing-Egr Febrero 2026'!B4:B103,"Egreso Familiar",'Ing-Egr Febrero 2026'!C4:C103,A68)</f>
        <v/>
      </c>
      <c r="D68" s="460" t="n"/>
      <c r="E68" s="301" t="n"/>
      <c r="F68" s="301" t="n"/>
      <c r="G68" s="398" t="inlineStr">
        <is>
          <t>Concepto</t>
        </is>
      </c>
      <c r="H68" s="398" t="inlineStr">
        <is>
          <t>% Ideal</t>
        </is>
      </c>
      <c r="I68" s="426" t="inlineStr">
        <is>
          <t>Monto Ideal</t>
        </is>
      </c>
      <c r="J68" s="471" t="inlineStr">
        <is>
          <t>Monto Real</t>
        </is>
      </c>
      <c r="K68" s="398" t="inlineStr">
        <is>
          <t>Estado</t>
        </is>
      </c>
      <c r="L68" s="301" t="n"/>
    </row>
    <row r="69" ht="15" customHeight="1" s="221">
      <c r="A69" s="410" t="inlineStr">
        <is>
          <t>Reserva Fam 2</t>
        </is>
      </c>
      <c r="B69" s="410" t="inlineStr">
        <is>
          <t>Ninguno</t>
        </is>
      </c>
      <c r="C69" s="411">
        <f>SUMIFS('Ing-Egr Febrero 2026'!F4:F103,'Ing-Egr Febrero 2026'!B4:B103,"Egreso Familiar",'Ing-Egr Febrero 2026'!C4:C103,A69)</f>
        <v/>
      </c>
      <c r="D69" s="463" t="n"/>
      <c r="E69" s="301" t="n"/>
      <c r="F69" s="301" t="n"/>
      <c r="G69" s="301" t="inlineStr">
        <is>
          <t>Gastos Operativos (máx 75%)</t>
        </is>
      </c>
      <c r="H69" s="427" t="n">
        <v>0.75</v>
      </c>
      <c r="I69" s="328">
        <f>J12*0.75</f>
        <v/>
      </c>
      <c r="J69" s="466">
        <f>I64+I65</f>
        <v/>
      </c>
      <c r="K69" s="428">
        <f>IF(J12=0,"-",IF(J69/J12&lt;=0.75,"🟢 OK",IF(J69/J12&lt;=0.9,"🟡 PRECAUCIÓN","🔴 ALARMA")))</f>
        <v/>
      </c>
      <c r="L69" s="301" t="n"/>
    </row>
    <row r="70" ht="15" customHeight="1" s="221">
      <c r="A70" s="414" t="inlineStr">
        <is>
          <t>Reserva Fam 3</t>
        </is>
      </c>
      <c r="B70" s="414" t="inlineStr">
        <is>
          <t>Ninguno</t>
        </is>
      </c>
      <c r="C70" s="415">
        <f>SUMIFS('Ing-Egr Febrero 2026'!F4:F103,'Ing-Egr Febrero 2026'!B4:B103,"Egreso Familiar",'Ing-Egr Febrero 2026'!C4:C103,A70)</f>
        <v/>
      </c>
      <c r="D70" s="465" t="n"/>
      <c r="E70" s="301" t="n"/>
      <c r="F70" s="301" t="n"/>
      <c r="G70" s="301" t="inlineStr">
        <is>
          <t>Ganancia (10%)</t>
        </is>
      </c>
      <c r="H70" s="427" t="n">
        <v>0.1</v>
      </c>
      <c r="I70" s="328">
        <f>J12*0.1</f>
        <v/>
      </c>
      <c r="J70" s="466">
        <f>D22</f>
        <v/>
      </c>
      <c r="K70" s="429">
        <f>IF(J70&gt;=I70,"🟢","🔴")</f>
        <v/>
      </c>
      <c r="L70" s="301" t="n"/>
    </row>
    <row r="71" ht="15" customHeight="1" s="221">
      <c r="A71" s="301" t="n"/>
      <c r="B71" s="301" t="n"/>
      <c r="C71" s="301" t="n"/>
      <c r="D71" s="301" t="n"/>
      <c r="E71" s="301" t="n"/>
      <c r="F71" s="301" t="n"/>
      <c r="G71" s="301" t="inlineStr">
        <is>
          <t>Inversiones (5%)</t>
        </is>
      </c>
      <c r="H71" s="427" t="n">
        <v>0.05</v>
      </c>
      <c r="I71" s="328">
        <f>J12*0.05</f>
        <v/>
      </c>
      <c r="J71" s="328" t="n">
        <v>0</v>
      </c>
      <c r="K71" s="429">
        <f>IF(J71&gt;=I71,"🟢","🔴")</f>
        <v/>
      </c>
      <c r="L71" s="301" t="n"/>
    </row>
    <row r="72" ht="15" customHeight="1" s="221">
      <c r="A72" s="430" t="inlineStr">
        <is>
          <t>TOTAL FAM. PAGADOS</t>
        </is>
      </c>
      <c r="B72" s="353" t="n"/>
      <c r="C72" s="431">
        <f>SUMIF(B30:B70,"Pagado",C30:C70)</f>
        <v/>
      </c>
      <c r="D72" s="432" t="n"/>
      <c r="E72" s="301" t="n"/>
      <c r="F72" s="301" t="n"/>
      <c r="G72" s="301" t="inlineStr">
        <is>
          <t>Imprevistos (5%)</t>
        </is>
      </c>
      <c r="H72" s="427" t="n">
        <v>0.05</v>
      </c>
      <c r="I72" s="328">
        <f>J12*0.05</f>
        <v/>
      </c>
      <c r="J72" s="328" t="n">
        <v>0</v>
      </c>
      <c r="K72" s="429">
        <f>IF(J72&gt;=I72,"🟢","🔴")</f>
        <v/>
      </c>
      <c r="L72" s="301" t="n"/>
    </row>
    <row r="73" ht="15" customHeight="1" s="221">
      <c r="A73" s="433" t="inlineStr">
        <is>
          <t>TOTAL FAM. PENDIENTES</t>
        </is>
      </c>
      <c r="B73" s="353" t="n"/>
      <c r="C73" s="434">
        <f>SUMIF(B30:B70,"Pendiente",C30:C70)</f>
        <v/>
      </c>
      <c r="D73" s="435" t="n"/>
      <c r="E73" s="301" t="n"/>
      <c r="F73" s="301" t="n"/>
      <c r="G73" s="301" t="inlineStr">
        <is>
          <t>Desvío Imprevisto (5%)</t>
        </is>
      </c>
      <c r="H73" s="427" t="n">
        <v>0.05</v>
      </c>
      <c r="I73" s="328">
        <f>J12*0.05</f>
        <v/>
      </c>
      <c r="J73" s="328" t="n">
        <v>0</v>
      </c>
      <c r="K73" s="429">
        <f>IF(J73&gt;=I73,"🟢","🔴")</f>
        <v/>
      </c>
      <c r="L73" s="301" t="n"/>
    </row>
    <row r="74" ht="15" customHeight="1" s="221">
      <c r="A74" s="354" t="n"/>
      <c r="B74" s="354" t="n"/>
      <c r="C74" s="359" t="n"/>
      <c r="D74" s="360" t="n"/>
      <c r="E74" s="301" t="n"/>
      <c r="F74" s="301" t="n"/>
      <c r="G74" s="223" t="inlineStr">
        <is>
          <t>TOTAL</t>
        </is>
      </c>
      <c r="H74" s="436">
        <f>SUM(H69:H73)</f>
        <v/>
      </c>
      <c r="I74" s="437">
        <f>SUM(I69:I73)</f>
        <v/>
      </c>
      <c r="J74" s="437">
        <f>SUM(J69:J73)</f>
        <v/>
      </c>
      <c r="K74" s="301" t="n"/>
      <c r="L74" s="301" t="n"/>
    </row>
    <row r="75" ht="15" customHeight="1" s="221">
      <c r="A75" s="354" t="n"/>
      <c r="B75" s="354" t="n"/>
      <c r="C75" s="359" t="n"/>
      <c r="D75" s="360" t="n"/>
      <c r="E75" s="301" t="n"/>
      <c r="F75" s="301" t="n"/>
      <c r="G75" s="301" t="n"/>
      <c r="H75" s="301" t="n"/>
      <c r="I75" s="301" t="n"/>
      <c r="J75" s="301" t="n"/>
      <c r="K75" s="301" t="n"/>
      <c r="L75" s="301" t="n"/>
    </row>
    <row r="76" ht="15" customHeight="1" s="221">
      <c r="A76" s="354" t="n"/>
      <c r="B76" s="354" t="n"/>
      <c r="C76" s="359" t="n"/>
      <c r="D76" s="360" t="n"/>
      <c r="E76" s="301" t="n"/>
      <c r="F76" s="301" t="n"/>
      <c r="G76" s="223" t="inlineStr">
        <is>
          <t>% GASTOS SOBRE INGRESO:</t>
        </is>
      </c>
      <c r="H76" s="301" t="n"/>
      <c r="I76" s="301" t="n"/>
      <c r="J76" s="438">
        <f>IF(J12=0,0,J69/J12)</f>
        <v/>
      </c>
      <c r="K76" s="301" t="n"/>
      <c r="L76" s="301" t="n"/>
    </row>
    <row r="77" ht="15" customHeight="1" s="221">
      <c r="A77" s="354" t="n"/>
      <c r="B77" s="354" t="n"/>
      <c r="C77" s="359" t="n"/>
      <c r="D77" s="360" t="n"/>
      <c r="E77" s="301" t="n"/>
      <c r="F77" s="301" t="n"/>
      <c r="G77" s="223" t="inlineStr">
        <is>
          <t>DIAGNÓSTICO:</t>
        </is>
      </c>
      <c r="H77" s="301" t="n"/>
      <c r="I77" s="301" t="n"/>
      <c r="J77" s="439">
        <f>IF(J12=0,"Sin datos",IF(J69/J12&lt;=0.75,"🟢 CLÍNICA SANA",IF(J69/J12&lt;=0.9,"🟡 REVISAR GASTOS","🔴 SITUACIÓN CRÍTICA")))</f>
        <v/>
      </c>
      <c r="L77" s="301" t="n"/>
    </row>
    <row r="78" ht="15" customHeight="1" s="221">
      <c r="A78" s="354" t="n"/>
      <c r="B78" s="354" t="n"/>
      <c r="C78" s="359" t="n"/>
      <c r="D78" s="360" t="n"/>
      <c r="E78" s="301" t="n"/>
      <c r="F78" s="301" t="n"/>
      <c r="G78" s="301" t="n"/>
      <c r="H78" s="301" t="n"/>
      <c r="I78" s="301" t="n"/>
      <c r="J78" s="301" t="n"/>
      <c r="K78" s="301" t="n"/>
      <c r="L78" s="301" t="n"/>
    </row>
    <row r="79" ht="15" customHeight="1" s="221">
      <c r="A79" s="354" t="n"/>
      <c r="B79" s="354" t="n"/>
      <c r="C79" s="359" t="n"/>
      <c r="D79" s="360" t="n"/>
      <c r="E79" s="301" t="n"/>
      <c r="F79" s="301" t="n"/>
      <c r="G79" s="301" t="n"/>
      <c r="H79" s="301" t="n"/>
      <c r="I79" s="301" t="n"/>
      <c r="J79" s="301" t="n"/>
      <c r="K79" s="301" t="n"/>
      <c r="L79" s="301" t="n"/>
    </row>
    <row r="80" ht="15" customHeight="1" s="221">
      <c r="A80" s="301" t="n"/>
      <c r="B80" s="301" t="n"/>
      <c r="C80" s="328" t="n"/>
      <c r="D80" s="301" t="n"/>
      <c r="E80" s="301" t="n"/>
      <c r="F80" s="301" t="n"/>
      <c r="G80" s="301" t="n"/>
      <c r="H80" s="301" t="n"/>
      <c r="I80" s="301" t="n"/>
      <c r="J80" s="301" t="n"/>
      <c r="K80" s="301" t="n"/>
      <c r="L80" s="301" t="n"/>
    </row>
    <row r="81" ht="15.75" customHeight="1" s="221">
      <c r="A81" s="301" t="n"/>
      <c r="B81" s="301" t="n"/>
      <c r="C81" s="328" t="n"/>
      <c r="D81" s="301" t="n"/>
      <c r="E81" s="301" t="n"/>
      <c r="F81" s="301" t="n"/>
      <c r="G81" s="301" t="n"/>
      <c r="H81" s="301" t="n"/>
      <c r="I81" s="301" t="n"/>
      <c r="J81" s="301" t="n"/>
      <c r="K81" s="301" t="n"/>
      <c r="L81" s="301" t="n"/>
    </row>
    <row r="82" ht="15.75" customHeight="1" s="221">
      <c r="A82" s="301" t="n"/>
      <c r="B82" s="301" t="n"/>
      <c r="C82" s="328" t="n"/>
      <c r="D82" s="301" t="n"/>
      <c r="E82" s="301" t="n"/>
      <c r="F82" s="301" t="n"/>
      <c r="G82" s="301" t="n"/>
      <c r="H82" s="301" t="n"/>
      <c r="I82" s="301" t="n"/>
      <c r="J82" s="301" t="n"/>
      <c r="K82" s="301" t="n"/>
      <c r="L82" s="301" t="n"/>
    </row>
    <row r="83" ht="15" customHeight="1" s="221">
      <c r="A83" s="301" t="n"/>
      <c r="B83" s="301" t="n"/>
      <c r="C83" s="301" t="n"/>
      <c r="D83" s="301" t="n"/>
      <c r="E83" s="301" t="n"/>
      <c r="F83" s="301" t="n"/>
      <c r="G83" s="301" t="n"/>
      <c r="H83" s="301" t="n"/>
      <c r="I83" s="301" t="n"/>
      <c r="J83" s="301" t="n"/>
      <c r="K83" s="301" t="n"/>
      <c r="L83" s="301" t="n"/>
    </row>
    <row r="84" ht="15" customHeight="1" s="221">
      <c r="A84" s="301" t="n"/>
      <c r="B84" s="301" t="n"/>
      <c r="C84" s="301" t="n"/>
      <c r="D84" s="301" t="n"/>
      <c r="E84" s="301" t="n"/>
      <c r="F84" s="301" t="n"/>
      <c r="G84" s="301" t="n"/>
      <c r="H84" s="301" t="n"/>
      <c r="I84" s="301" t="n"/>
      <c r="J84" s="301" t="n"/>
      <c r="K84" s="301" t="n"/>
      <c r="L84" s="301" t="n"/>
    </row>
    <row r="85" ht="15" customHeight="1" s="221">
      <c r="A85" s="354" t="n"/>
      <c r="B85" s="354" t="n"/>
      <c r="C85" s="354" t="n"/>
      <c r="D85" s="354" t="n"/>
      <c r="E85" s="301" t="n"/>
      <c r="F85" s="301" t="n"/>
      <c r="G85" s="301" t="n"/>
      <c r="H85" s="301" t="n"/>
      <c r="I85" s="301" t="n"/>
      <c r="J85" s="301" t="n"/>
      <c r="K85" s="301" t="n"/>
      <c r="L85" s="301" t="n"/>
    </row>
    <row r="86" ht="15" customHeight="1" s="221">
      <c r="A86" s="301" t="n"/>
      <c r="B86" s="301" t="n"/>
      <c r="C86" s="301" t="n"/>
      <c r="D86" s="301" t="n"/>
      <c r="E86" s="301" t="n"/>
      <c r="F86" s="301" t="n"/>
      <c r="G86" s="301" t="n"/>
      <c r="H86" s="301" t="n"/>
      <c r="I86" s="301" t="n"/>
      <c r="J86" s="301" t="n"/>
      <c r="K86" s="301" t="n"/>
      <c r="L86" s="301" t="n"/>
    </row>
    <row r="87" ht="15" customHeight="1" s="221">
      <c r="A87" s="354" t="n"/>
      <c r="B87" s="354" t="n"/>
      <c r="C87" s="359" t="n"/>
      <c r="D87" s="360" t="n"/>
      <c r="E87" s="301" t="n"/>
      <c r="F87" s="301" t="n"/>
      <c r="G87" s="301" t="n"/>
      <c r="H87" s="301" t="n"/>
      <c r="I87" s="301" t="n"/>
      <c r="J87" s="301" t="n"/>
      <c r="K87" s="301" t="n"/>
      <c r="L87" s="301" t="n"/>
    </row>
    <row r="88" ht="15" customHeight="1" s="221">
      <c r="A88" s="354" t="n"/>
      <c r="B88" s="354" t="n"/>
      <c r="C88" s="359" t="n"/>
      <c r="D88" s="360" t="n"/>
      <c r="E88" s="301" t="n"/>
      <c r="F88" s="301" t="n"/>
      <c r="G88" s="301" t="n"/>
      <c r="H88" s="301" t="n"/>
      <c r="I88" s="301" t="n"/>
      <c r="J88" s="301" t="n"/>
      <c r="K88" s="301" t="n"/>
      <c r="L88" s="301" t="n"/>
    </row>
    <row r="89" ht="15" customHeight="1" s="221">
      <c r="A89" s="354" t="n"/>
      <c r="B89" s="354" t="n"/>
      <c r="C89" s="359" t="n"/>
      <c r="D89" s="360" t="n"/>
      <c r="E89" s="301" t="n"/>
      <c r="F89" s="301" t="n"/>
      <c r="G89" s="301" t="n"/>
      <c r="H89" s="301" t="n"/>
      <c r="I89" s="301" t="n"/>
      <c r="J89" s="301" t="n"/>
      <c r="K89" s="301" t="n"/>
      <c r="L89" s="301" t="n"/>
    </row>
    <row r="90" ht="15" customHeight="1" s="221">
      <c r="A90" s="354" t="n"/>
      <c r="B90" s="354" t="n"/>
      <c r="C90" s="359" t="n"/>
      <c r="D90" s="360" t="n"/>
      <c r="E90" s="301" t="n"/>
      <c r="F90" s="301" t="n"/>
      <c r="G90" s="301" t="n"/>
      <c r="H90" s="301" t="n"/>
      <c r="I90" s="301" t="n"/>
      <c r="J90" s="301" t="n"/>
      <c r="K90" s="301" t="n"/>
      <c r="L90" s="301" t="n"/>
    </row>
    <row r="91" ht="15" customHeight="1" s="221">
      <c r="A91" s="301" t="n"/>
      <c r="B91" s="301" t="n"/>
      <c r="C91" s="328" t="n"/>
      <c r="D91" s="301" t="n"/>
      <c r="E91" s="301" t="n"/>
      <c r="F91" s="301" t="n"/>
      <c r="G91" s="301" t="n"/>
      <c r="H91" s="301" t="n"/>
      <c r="I91" s="301" t="n"/>
      <c r="J91" s="301" t="n"/>
      <c r="K91" s="301" t="n"/>
      <c r="L91" s="301" t="n"/>
    </row>
    <row r="92" ht="15" customHeight="1" s="221">
      <c r="A92" s="301" t="n"/>
      <c r="B92" s="301" t="n"/>
      <c r="C92" s="301" t="n"/>
      <c r="D92" s="301" t="n"/>
      <c r="E92" s="301" t="n"/>
      <c r="F92" s="301" t="n"/>
      <c r="G92" s="301" t="n"/>
      <c r="H92" s="301" t="n"/>
      <c r="I92" s="301" t="n"/>
      <c r="J92" s="301" t="n"/>
      <c r="K92" s="301" t="n"/>
      <c r="L92" s="301" t="n"/>
    </row>
    <row r="93" ht="15" customHeight="1" s="221">
      <c r="A93" s="354" t="n"/>
      <c r="B93" s="354" t="n"/>
      <c r="C93" s="359" t="n"/>
      <c r="D93" s="360" t="n"/>
      <c r="E93" s="301" t="n"/>
      <c r="F93" s="301" t="n"/>
      <c r="G93" s="301" t="n"/>
      <c r="H93" s="301" t="n"/>
      <c r="I93" s="301" t="n"/>
      <c r="J93" s="301" t="n"/>
      <c r="K93" s="301" t="n"/>
      <c r="L93" s="301" t="n"/>
    </row>
    <row r="94" ht="15" customHeight="1" s="221">
      <c r="A94" s="354" t="n"/>
      <c r="B94" s="354" t="n"/>
      <c r="C94" s="359" t="n"/>
      <c r="D94" s="360" t="n"/>
      <c r="E94" s="301" t="n"/>
      <c r="F94" s="301" t="n"/>
      <c r="G94" s="301" t="n"/>
      <c r="H94" s="301" t="n"/>
      <c r="I94" s="301" t="n"/>
      <c r="J94" s="301" t="n"/>
      <c r="K94" s="301" t="n"/>
      <c r="L94" s="301" t="n"/>
    </row>
    <row r="95" ht="15" customHeight="1" s="221">
      <c r="A95" s="354" t="n"/>
      <c r="B95" s="354" t="n"/>
      <c r="C95" s="359" t="n"/>
      <c r="D95" s="360" t="n"/>
      <c r="E95" s="301" t="n"/>
      <c r="F95" s="301" t="n"/>
      <c r="G95" s="301" t="n"/>
      <c r="H95" s="301" t="n"/>
      <c r="I95" s="301" t="n"/>
      <c r="J95" s="301" t="n"/>
      <c r="K95" s="301" t="n"/>
      <c r="L95" s="301" t="n"/>
    </row>
    <row r="96" ht="15" customHeight="1" s="221">
      <c r="A96" s="354" t="n"/>
      <c r="B96" s="354" t="n"/>
      <c r="C96" s="359" t="n"/>
      <c r="D96" s="360" t="n"/>
      <c r="E96" s="301" t="n"/>
      <c r="F96" s="301" t="n"/>
      <c r="G96" s="301" t="n"/>
      <c r="H96" s="301" t="n"/>
      <c r="I96" s="301" t="n"/>
      <c r="J96" s="301" t="n"/>
      <c r="K96" s="301" t="n"/>
      <c r="L96" s="301" t="n"/>
    </row>
    <row r="97" ht="15" customHeight="1" s="221">
      <c r="A97" s="354" t="n"/>
      <c r="B97" s="354" t="n"/>
      <c r="C97" s="359" t="n"/>
      <c r="D97" s="360" t="n"/>
      <c r="E97" s="301" t="n"/>
      <c r="F97" s="301" t="n"/>
      <c r="G97" s="301" t="n"/>
      <c r="H97" s="301" t="n"/>
      <c r="I97" s="301" t="n"/>
      <c r="J97" s="301" t="n"/>
      <c r="K97" s="301" t="n"/>
      <c r="L97" s="301" t="n"/>
    </row>
    <row r="98" ht="15" customHeight="1" s="221">
      <c r="A98" s="354" t="n"/>
      <c r="B98" s="354" t="n"/>
      <c r="C98" s="359" t="n"/>
      <c r="D98" s="360" t="n"/>
      <c r="E98" s="301" t="n"/>
      <c r="F98" s="301" t="n"/>
      <c r="G98" s="301" t="n"/>
      <c r="H98" s="301" t="n"/>
      <c r="I98" s="301" t="n"/>
      <c r="J98" s="301" t="n"/>
      <c r="K98" s="301" t="n"/>
      <c r="L98" s="301" t="n"/>
    </row>
    <row r="99" ht="15" customHeight="1" s="221">
      <c r="A99" s="301" t="n"/>
      <c r="B99" s="301" t="n"/>
      <c r="C99" s="328" t="n"/>
      <c r="D99" s="301" t="n"/>
      <c r="E99" s="301" t="n"/>
      <c r="F99" s="301" t="n"/>
      <c r="G99" s="301" t="n"/>
      <c r="H99" s="301" t="n"/>
      <c r="I99" s="301" t="n"/>
      <c r="J99" s="301" t="n"/>
      <c r="K99" s="301" t="n"/>
      <c r="L99" s="301" t="n"/>
    </row>
    <row r="100" ht="15" customHeight="1" s="221">
      <c r="A100" s="301" t="n"/>
      <c r="B100" s="301" t="n"/>
      <c r="C100" s="301" t="n"/>
      <c r="D100" s="301" t="n"/>
      <c r="E100" s="301" t="n"/>
      <c r="F100" s="301" t="n"/>
      <c r="G100" s="301" t="n"/>
      <c r="H100" s="301" t="n"/>
      <c r="I100" s="301" t="n"/>
      <c r="J100" s="301" t="n"/>
      <c r="K100" s="301" t="n"/>
      <c r="L100" s="301" t="n"/>
    </row>
    <row r="101" ht="15" customHeight="1" s="221">
      <c r="A101" s="354" t="n"/>
      <c r="B101" s="354" t="n"/>
      <c r="C101" s="359" t="n"/>
      <c r="D101" s="360" t="n"/>
      <c r="E101" s="301" t="n"/>
      <c r="F101" s="301" t="n"/>
      <c r="G101" s="301" t="n"/>
      <c r="H101" s="301" t="n"/>
      <c r="I101" s="301" t="n"/>
      <c r="J101" s="301" t="n"/>
      <c r="K101" s="301" t="n"/>
      <c r="L101" s="301" t="n"/>
    </row>
    <row r="102" ht="15" customHeight="1" s="221">
      <c r="A102" s="354" t="n"/>
      <c r="B102" s="354" t="n"/>
      <c r="C102" s="359" t="n"/>
      <c r="D102" s="360" t="n"/>
      <c r="E102" s="301" t="n"/>
      <c r="F102" s="301" t="n"/>
      <c r="G102" s="301" t="n"/>
      <c r="H102" s="301" t="n"/>
      <c r="I102" s="301" t="n"/>
      <c r="J102" s="301" t="n"/>
      <c r="K102" s="301" t="n"/>
      <c r="L102" s="301" t="n"/>
    </row>
    <row r="103" ht="15" customHeight="1" s="221">
      <c r="A103" s="354" t="n"/>
      <c r="B103" s="354" t="n"/>
      <c r="C103" s="359" t="n"/>
      <c r="D103" s="360" t="n"/>
      <c r="E103" s="301" t="n"/>
      <c r="F103" s="301" t="n"/>
      <c r="G103" s="301" t="n"/>
      <c r="H103" s="301" t="n"/>
      <c r="I103" s="301" t="n"/>
      <c r="J103" s="301" t="n"/>
      <c r="K103" s="301" t="n"/>
      <c r="L103" s="301" t="n"/>
    </row>
    <row r="104" ht="15" customHeight="1" s="221">
      <c r="A104" s="354" t="n"/>
      <c r="B104" s="354" t="n"/>
      <c r="C104" s="359" t="n"/>
      <c r="D104" s="360" t="n"/>
      <c r="E104" s="301" t="n"/>
      <c r="F104" s="301" t="n"/>
      <c r="G104" s="301" t="n"/>
      <c r="H104" s="301" t="n"/>
      <c r="I104" s="301" t="n"/>
      <c r="J104" s="301" t="n"/>
      <c r="K104" s="301" t="n"/>
      <c r="L104" s="301" t="n"/>
    </row>
    <row r="105" ht="15" customHeight="1" s="221">
      <c r="A105" s="354" t="n"/>
      <c r="B105" s="354" t="n"/>
      <c r="C105" s="359" t="n"/>
      <c r="D105" s="360" t="n"/>
      <c r="E105" s="301" t="n"/>
      <c r="F105" s="301" t="n"/>
      <c r="G105" s="301" t="n"/>
      <c r="H105" s="301" t="n"/>
      <c r="I105" s="301" t="n"/>
      <c r="J105" s="301" t="n"/>
      <c r="K105" s="301" t="n"/>
      <c r="L105" s="301" t="n"/>
    </row>
    <row r="106" ht="15" customHeight="1" s="221">
      <c r="A106" s="301" t="n"/>
      <c r="B106" s="301" t="n"/>
      <c r="C106" s="328" t="n"/>
      <c r="D106" s="301" t="n"/>
      <c r="E106" s="301" t="n"/>
      <c r="F106" s="301" t="n"/>
      <c r="G106" s="301" t="n"/>
      <c r="H106" s="301" t="n"/>
      <c r="I106" s="301" t="n"/>
      <c r="J106" s="301" t="n"/>
      <c r="K106" s="301" t="n"/>
      <c r="L106" s="301" t="n"/>
    </row>
    <row r="107" ht="15" customHeight="1" s="221">
      <c r="A107" s="301" t="n"/>
      <c r="B107" s="301" t="n"/>
      <c r="C107" s="301" t="n"/>
      <c r="D107" s="301" t="n"/>
      <c r="E107" s="301" t="n"/>
      <c r="F107" s="301" t="n"/>
      <c r="G107" s="301" t="n"/>
      <c r="H107" s="301" t="n"/>
      <c r="I107" s="301" t="n"/>
      <c r="J107" s="301" t="n"/>
      <c r="K107" s="301" t="n"/>
      <c r="L107" s="301" t="n"/>
    </row>
    <row r="108" ht="15" customHeight="1" s="221">
      <c r="A108" s="354" t="n"/>
      <c r="B108" s="354" t="n"/>
      <c r="C108" s="359" t="n"/>
      <c r="D108" s="360" t="n"/>
      <c r="E108" s="301" t="n"/>
      <c r="F108" s="301" t="n"/>
      <c r="G108" s="301" t="n"/>
      <c r="H108" s="301" t="n"/>
      <c r="I108" s="301" t="n"/>
      <c r="J108" s="301" t="n"/>
      <c r="K108" s="301" t="n"/>
      <c r="L108" s="301" t="n"/>
    </row>
    <row r="109" ht="15" customHeight="1" s="221">
      <c r="A109" s="354" t="n"/>
      <c r="B109" s="354" t="n"/>
      <c r="C109" s="359" t="n"/>
      <c r="D109" s="360" t="n"/>
      <c r="E109" s="301" t="n"/>
      <c r="F109" s="301" t="n"/>
      <c r="G109" s="301" t="n"/>
      <c r="H109" s="301" t="n"/>
      <c r="I109" s="301" t="n"/>
      <c r="J109" s="301" t="n"/>
      <c r="K109" s="301" t="n"/>
      <c r="L109" s="301" t="n"/>
    </row>
    <row r="110" ht="15" customHeight="1" s="221">
      <c r="A110" s="301" t="n"/>
      <c r="B110" s="301" t="n"/>
      <c r="C110" s="328" t="n"/>
      <c r="D110" s="301" t="n"/>
      <c r="E110" s="301" t="n"/>
      <c r="F110" s="301" t="n"/>
      <c r="G110" s="301" t="n"/>
      <c r="H110" s="301" t="n"/>
      <c r="I110" s="301" t="n"/>
      <c r="J110" s="301" t="n"/>
      <c r="K110" s="301" t="n"/>
      <c r="L110" s="301" t="n"/>
    </row>
    <row r="111" ht="15" customHeight="1" s="221">
      <c r="A111" s="301" t="n"/>
      <c r="B111" s="301" t="n"/>
      <c r="C111" s="301" t="n"/>
      <c r="D111" s="301" t="n"/>
      <c r="E111" s="301" t="n"/>
      <c r="F111" s="301" t="n"/>
      <c r="G111" s="301" t="n"/>
      <c r="H111" s="301" t="n"/>
      <c r="I111" s="301" t="n"/>
      <c r="J111" s="301" t="n"/>
      <c r="K111" s="301" t="n"/>
      <c r="L111" s="301" t="n"/>
    </row>
    <row r="112" ht="15" customHeight="1" s="221">
      <c r="A112" s="354" t="n"/>
      <c r="B112" s="354" t="n"/>
      <c r="C112" s="359" t="n"/>
      <c r="D112" s="360" t="n"/>
      <c r="E112" s="301" t="n"/>
      <c r="F112" s="301" t="n"/>
      <c r="G112" s="301" t="n"/>
      <c r="H112" s="301" t="n"/>
      <c r="I112" s="301" t="n"/>
      <c r="J112" s="301" t="n"/>
      <c r="K112" s="301" t="n"/>
      <c r="L112" s="301" t="n"/>
    </row>
    <row r="113" ht="15" customHeight="1" s="221">
      <c r="A113" s="354" t="n"/>
      <c r="B113" s="354" t="n"/>
      <c r="C113" s="359" t="n"/>
      <c r="D113" s="360" t="n"/>
      <c r="E113" s="301" t="n"/>
      <c r="F113" s="301" t="n"/>
      <c r="G113" s="301" t="n"/>
      <c r="H113" s="301" t="n"/>
      <c r="I113" s="301" t="n"/>
      <c r="J113" s="301" t="n"/>
      <c r="K113" s="301" t="n"/>
      <c r="L113" s="301" t="n"/>
    </row>
    <row r="114" ht="15" customHeight="1" s="221">
      <c r="A114" s="354" t="n"/>
      <c r="B114" s="354" t="n"/>
      <c r="C114" s="359" t="n"/>
      <c r="D114" s="360" t="n"/>
      <c r="E114" s="301" t="n"/>
      <c r="F114" s="301" t="n"/>
      <c r="G114" s="301" t="n"/>
      <c r="H114" s="301" t="n"/>
      <c r="I114" s="301" t="n"/>
      <c r="J114" s="301" t="n"/>
      <c r="K114" s="301" t="n"/>
      <c r="L114" s="301" t="n"/>
    </row>
    <row r="115" ht="15" customHeight="1" s="221">
      <c r="A115" s="354" t="n"/>
      <c r="B115" s="354" t="n"/>
      <c r="C115" s="359" t="n"/>
      <c r="D115" s="360" t="n"/>
      <c r="E115" s="301" t="n"/>
      <c r="F115" s="301" t="n"/>
      <c r="G115" s="301" t="n"/>
      <c r="H115" s="301" t="n"/>
      <c r="I115" s="301" t="n"/>
      <c r="J115" s="301" t="n"/>
      <c r="K115" s="301" t="n"/>
      <c r="L115" s="301" t="n"/>
    </row>
    <row r="116" ht="15" customHeight="1" s="221">
      <c r="A116" s="354" t="n"/>
      <c r="B116" s="354" t="n"/>
      <c r="C116" s="359" t="n"/>
      <c r="D116" s="360" t="n"/>
      <c r="E116" s="301" t="n"/>
      <c r="F116" s="301" t="n"/>
      <c r="G116" s="301" t="n"/>
      <c r="H116" s="301" t="n"/>
      <c r="I116" s="301" t="n"/>
      <c r="J116" s="301" t="n"/>
      <c r="K116" s="301" t="n"/>
      <c r="L116" s="301" t="n"/>
    </row>
    <row r="117" ht="15" customHeight="1" s="221">
      <c r="A117" s="354" t="n"/>
      <c r="B117" s="354" t="n"/>
      <c r="C117" s="359" t="n"/>
      <c r="D117" s="360" t="n"/>
      <c r="E117" s="301" t="n"/>
      <c r="F117" s="301" t="n"/>
      <c r="G117" s="301" t="n"/>
      <c r="H117" s="301" t="n"/>
      <c r="I117" s="301" t="n"/>
      <c r="J117" s="301" t="n"/>
      <c r="K117" s="301" t="n"/>
      <c r="L117" s="301" t="n"/>
    </row>
    <row r="118" ht="15" customHeight="1" s="221">
      <c r="A118" s="354" t="n"/>
      <c r="B118" s="354" t="n"/>
      <c r="C118" s="359" t="n"/>
      <c r="D118" s="360" t="n"/>
      <c r="E118" s="301" t="n"/>
      <c r="F118" s="301" t="n"/>
      <c r="G118" s="301" t="n"/>
      <c r="H118" s="301" t="n"/>
      <c r="I118" s="301" t="n"/>
      <c r="J118" s="301" t="n"/>
      <c r="K118" s="301" t="n"/>
      <c r="L118" s="301" t="n"/>
    </row>
    <row r="119" ht="15" customHeight="1" s="221">
      <c r="A119" s="354" t="n"/>
      <c r="B119" s="354" t="n"/>
      <c r="C119" s="359" t="n"/>
      <c r="D119" s="360" t="n"/>
      <c r="E119" s="301" t="n"/>
      <c r="F119" s="301" t="n"/>
      <c r="G119" s="301" t="n"/>
      <c r="H119" s="301" t="n"/>
      <c r="I119" s="301" t="n"/>
      <c r="J119" s="301" t="n"/>
      <c r="K119" s="301" t="n"/>
      <c r="L119" s="301" t="n"/>
    </row>
    <row r="120" ht="15" customHeight="1" s="221">
      <c r="A120" s="354" t="n"/>
      <c r="B120" s="354" t="n"/>
      <c r="C120" s="359" t="n"/>
      <c r="D120" s="360" t="n"/>
      <c r="E120" s="301" t="n"/>
      <c r="F120" s="301" t="n"/>
      <c r="G120" s="301" t="n"/>
      <c r="H120" s="301" t="n"/>
      <c r="I120" s="301" t="n"/>
      <c r="J120" s="301" t="n"/>
      <c r="K120" s="301" t="n"/>
      <c r="L120" s="301" t="n"/>
    </row>
    <row r="121" ht="15" customHeight="1" s="221">
      <c r="A121" s="301" t="n"/>
      <c r="B121" s="301" t="n"/>
      <c r="C121" s="328" t="n"/>
      <c r="D121" s="301" t="n"/>
      <c r="E121" s="301" t="n"/>
      <c r="F121" s="301" t="n"/>
      <c r="G121" s="301" t="n"/>
      <c r="H121" s="301" t="n"/>
      <c r="I121" s="301" t="n"/>
      <c r="J121" s="301" t="n"/>
      <c r="K121" s="301" t="n"/>
      <c r="L121" s="301" t="n"/>
    </row>
    <row r="122" ht="15.75" customHeight="1" s="221">
      <c r="A122" s="301" t="n"/>
      <c r="B122" s="301" t="n"/>
      <c r="C122" s="328" t="n"/>
      <c r="D122" s="301" t="n"/>
      <c r="E122" s="301" t="n"/>
      <c r="F122" s="301" t="n"/>
      <c r="G122" s="301" t="n"/>
      <c r="H122" s="301" t="n"/>
      <c r="I122" s="301" t="n"/>
      <c r="J122" s="301" t="n"/>
      <c r="K122" s="301" t="n"/>
      <c r="L122" s="301" t="n"/>
    </row>
    <row r="123" ht="15.75" customHeight="1" s="221">
      <c r="A123" s="301" t="n"/>
      <c r="B123" s="301" t="n"/>
      <c r="C123" s="328" t="n"/>
      <c r="D123" s="301" t="n"/>
      <c r="E123" s="301" t="n"/>
      <c r="F123" s="301" t="n"/>
      <c r="G123" s="301" t="n"/>
      <c r="H123" s="301" t="n"/>
      <c r="I123" s="301" t="n"/>
      <c r="J123" s="301" t="n"/>
      <c r="K123" s="301" t="n"/>
      <c r="L123" s="301" t="n"/>
    </row>
    <row r="124" ht="15" customHeight="1" s="221">
      <c r="A124" s="301" t="n"/>
      <c r="B124" s="301" t="n"/>
      <c r="C124" s="301" t="n"/>
      <c r="D124" s="301" t="n"/>
      <c r="E124" s="301" t="n"/>
      <c r="F124" s="301" t="n"/>
      <c r="G124" s="301" t="n"/>
      <c r="H124" s="301" t="n"/>
      <c r="I124" s="301" t="n"/>
      <c r="J124" s="301" t="n"/>
      <c r="K124" s="301" t="n"/>
      <c r="L124" s="301" t="n"/>
    </row>
    <row r="125" ht="15" customHeight="1" s="221">
      <c r="A125" s="301" t="n"/>
      <c r="B125" s="301" t="n"/>
      <c r="C125" s="301" t="n"/>
      <c r="D125" s="301" t="n"/>
      <c r="E125" s="301" t="n"/>
      <c r="F125" s="301" t="n"/>
      <c r="G125" s="301" t="n"/>
      <c r="H125" s="301" t="n"/>
      <c r="I125" s="301" t="n"/>
      <c r="J125" s="301" t="n"/>
      <c r="K125" s="301" t="n"/>
      <c r="L125" s="301" t="n"/>
    </row>
    <row r="126" ht="15" customHeight="1" s="221">
      <c r="A126" s="301" t="n"/>
      <c r="B126" s="301" t="n"/>
      <c r="C126" s="301" t="n"/>
      <c r="D126" s="301" t="n"/>
      <c r="E126" s="301" t="n"/>
      <c r="F126" s="301" t="n"/>
      <c r="G126" s="301" t="n"/>
      <c r="H126" s="301" t="n"/>
      <c r="I126" s="301" t="n"/>
      <c r="J126" s="301" t="n"/>
      <c r="K126" s="301" t="n"/>
      <c r="L126" s="301" t="n"/>
    </row>
    <row r="127" ht="15" customHeight="1" s="221">
      <c r="A127" s="301" t="n"/>
      <c r="B127" s="301" t="n"/>
      <c r="C127" s="301" t="n"/>
      <c r="D127" s="301" t="n"/>
      <c r="E127" s="301" t="n"/>
      <c r="F127" s="301" t="n"/>
      <c r="G127" s="301" t="n"/>
      <c r="H127" s="301" t="n"/>
      <c r="I127" s="301" t="n"/>
      <c r="J127" s="301" t="n"/>
      <c r="K127" s="301" t="n"/>
      <c r="L127" s="301" t="n"/>
    </row>
    <row r="128" ht="15" customHeight="1" s="221">
      <c r="A128" s="301" t="n"/>
      <c r="B128" s="301" t="n"/>
      <c r="C128" s="301" t="n"/>
      <c r="D128" s="301" t="n"/>
      <c r="E128" s="301" t="n"/>
      <c r="F128" s="301" t="n"/>
      <c r="G128" s="301" t="n"/>
      <c r="H128" s="301" t="n"/>
      <c r="I128" s="301" t="n"/>
      <c r="J128" s="301" t="n"/>
      <c r="K128" s="301" t="n"/>
      <c r="L128" s="301" t="n"/>
    </row>
    <row r="129" ht="15" customHeight="1" s="221">
      <c r="A129" s="301" t="n"/>
      <c r="B129" s="301" t="n"/>
      <c r="C129" s="301" t="n"/>
      <c r="D129" s="301" t="n"/>
      <c r="E129" s="301" t="n"/>
      <c r="F129" s="301" t="n"/>
      <c r="G129" s="301" t="n"/>
      <c r="H129" s="301" t="n"/>
      <c r="I129" s="301" t="n"/>
      <c r="J129" s="301" t="n"/>
      <c r="K129" s="301" t="n"/>
      <c r="L129" s="301" t="n"/>
    </row>
    <row r="130" ht="15" customHeight="1" s="221">
      <c r="A130" s="301" t="n"/>
      <c r="B130" s="301" t="n"/>
      <c r="C130" s="301" t="n"/>
      <c r="D130" s="301" t="n"/>
      <c r="E130" s="301" t="n"/>
      <c r="F130" s="301" t="n"/>
      <c r="G130" s="301" t="n"/>
      <c r="H130" s="301" t="n"/>
      <c r="I130" s="301" t="n"/>
      <c r="J130" s="301" t="n"/>
      <c r="K130" s="301" t="n"/>
      <c r="L130" s="301" t="n"/>
    </row>
    <row r="131" ht="15" customHeight="1" s="221">
      <c r="A131" s="301" t="n"/>
      <c r="B131" s="301" t="n"/>
      <c r="C131" s="301" t="n"/>
      <c r="D131" s="301" t="n"/>
      <c r="E131" s="301" t="n"/>
      <c r="F131" s="301" t="n"/>
      <c r="G131" s="301" t="n"/>
      <c r="H131" s="301" t="n"/>
      <c r="I131" s="301" t="n"/>
      <c r="J131" s="301" t="n"/>
      <c r="K131" s="301" t="n"/>
      <c r="L131" s="301" t="n"/>
    </row>
    <row r="132" ht="15" customHeight="1" s="221">
      <c r="A132" s="301" t="n"/>
      <c r="B132" s="301" t="n"/>
      <c r="C132" s="301" t="n"/>
      <c r="D132" s="301" t="n"/>
      <c r="E132" s="301" t="n"/>
      <c r="F132" s="301" t="n"/>
      <c r="G132" s="301" t="n"/>
      <c r="H132" s="301" t="n"/>
      <c r="I132" s="301" t="n"/>
      <c r="J132" s="301" t="n"/>
      <c r="K132" s="301" t="n"/>
      <c r="L132" s="301" t="n"/>
    </row>
    <row r="133" ht="15" customHeight="1" s="221">
      <c r="A133" s="301" t="n"/>
      <c r="B133" s="301" t="n"/>
      <c r="C133" s="301" t="n"/>
      <c r="D133" s="301" t="n"/>
      <c r="E133" s="301" t="n"/>
      <c r="F133" s="301" t="n"/>
      <c r="G133" s="301" t="n"/>
      <c r="H133" s="301" t="n"/>
      <c r="I133" s="301" t="n"/>
      <c r="J133" s="301" t="n"/>
      <c r="K133" s="301" t="n"/>
      <c r="L133" s="301" t="n"/>
    </row>
    <row r="134" ht="15" customHeight="1" s="221">
      <c r="A134" s="301" t="n"/>
      <c r="B134" s="301" t="n"/>
      <c r="C134" s="301" t="n"/>
      <c r="D134" s="301" t="n"/>
      <c r="E134" s="301" t="n"/>
      <c r="F134" s="301" t="n"/>
      <c r="G134" s="301" t="n"/>
      <c r="H134" s="301" t="n"/>
      <c r="I134" s="301" t="n"/>
      <c r="J134" s="301" t="n"/>
      <c r="K134" s="301" t="n"/>
      <c r="L134" s="301" t="n"/>
    </row>
    <row r="135" ht="15" customHeight="1" s="221">
      <c r="A135" s="301" t="n"/>
      <c r="B135" s="301" t="n"/>
      <c r="C135" s="301" t="n"/>
      <c r="D135" s="301" t="n"/>
      <c r="E135" s="301" t="n"/>
      <c r="F135" s="301" t="n"/>
      <c r="G135" s="301" t="n"/>
      <c r="H135" s="301" t="n"/>
      <c r="I135" s="301" t="n"/>
      <c r="J135" s="301" t="n"/>
      <c r="K135" s="301" t="n"/>
      <c r="L135" s="301" t="n"/>
    </row>
    <row r="136" ht="15" customHeight="1" s="221">
      <c r="A136" s="301" t="n"/>
      <c r="B136" s="301" t="n"/>
      <c r="C136" s="301" t="n"/>
      <c r="D136" s="301" t="n"/>
      <c r="E136" s="301" t="n"/>
      <c r="F136" s="301" t="n"/>
      <c r="G136" s="301" t="n"/>
      <c r="H136" s="301" t="n"/>
      <c r="I136" s="301" t="n"/>
      <c r="J136" s="301" t="n"/>
      <c r="K136" s="301" t="n"/>
      <c r="L136" s="301" t="n"/>
    </row>
    <row r="137" ht="15" customHeight="1" s="221">
      <c r="A137" s="301" t="n"/>
      <c r="B137" s="301" t="n"/>
      <c r="C137" s="301" t="n"/>
      <c r="D137" s="301" t="n"/>
      <c r="E137" s="301" t="n"/>
      <c r="F137" s="301" t="n"/>
      <c r="G137" s="301" t="n"/>
      <c r="H137" s="301" t="n"/>
      <c r="I137" s="301" t="n"/>
      <c r="J137" s="301" t="n"/>
      <c r="K137" s="301" t="n"/>
      <c r="L137" s="301" t="n"/>
    </row>
    <row r="138" ht="15" customHeight="1" s="221">
      <c r="A138" s="301" t="n"/>
      <c r="B138" s="301" t="n"/>
      <c r="C138" s="301" t="n"/>
      <c r="D138" s="301" t="n"/>
      <c r="E138" s="301" t="n"/>
      <c r="F138" s="301" t="n"/>
      <c r="G138" s="301" t="n"/>
      <c r="H138" s="301" t="n"/>
      <c r="I138" s="301" t="n"/>
      <c r="J138" s="301" t="n"/>
      <c r="K138" s="301" t="n"/>
      <c r="L138" s="301" t="n"/>
    </row>
    <row r="139" ht="15" customHeight="1" s="221">
      <c r="A139" s="301" t="n"/>
      <c r="B139" s="301" t="n"/>
      <c r="C139" s="301" t="n"/>
      <c r="D139" s="301" t="n"/>
      <c r="E139" s="301" t="n"/>
      <c r="F139" s="301" t="n"/>
      <c r="G139" s="301" t="n"/>
      <c r="H139" s="301" t="n"/>
      <c r="I139" s="301" t="n"/>
      <c r="J139" s="301" t="n"/>
      <c r="K139" s="301" t="n"/>
      <c r="L139" s="301" t="n"/>
    </row>
    <row r="140" ht="15" customHeight="1" s="221">
      <c r="A140" s="301" t="n"/>
      <c r="B140" s="301" t="n"/>
      <c r="C140" s="301" t="n"/>
      <c r="D140" s="301" t="n"/>
      <c r="E140" s="301" t="n"/>
      <c r="F140" s="301" t="n"/>
      <c r="G140" s="301" t="n"/>
      <c r="H140" s="301" t="n"/>
      <c r="I140" s="301" t="n"/>
      <c r="J140" s="301" t="n"/>
      <c r="K140" s="301" t="n"/>
      <c r="L140" s="301" t="n"/>
    </row>
    <row r="141" ht="15" customHeight="1" s="221">
      <c r="A141" s="301" t="n"/>
      <c r="B141" s="301" t="n"/>
      <c r="C141" s="301" t="n"/>
      <c r="D141" s="301" t="n"/>
      <c r="E141" s="301" t="n"/>
      <c r="F141" s="301" t="n"/>
      <c r="G141" s="301" t="n"/>
      <c r="H141" s="301" t="n"/>
      <c r="I141" s="301" t="n"/>
      <c r="J141" s="301" t="n"/>
      <c r="K141" s="301" t="n"/>
      <c r="L141" s="301" t="n"/>
    </row>
    <row r="142" ht="15" customHeight="1" s="221">
      <c r="A142" s="301" t="n"/>
      <c r="B142" s="301" t="n"/>
      <c r="C142" s="301" t="n"/>
      <c r="D142" s="301" t="n"/>
      <c r="E142" s="301" t="n"/>
      <c r="F142" s="301" t="n"/>
      <c r="G142" s="301" t="n"/>
      <c r="H142" s="301" t="n"/>
      <c r="I142" s="301" t="n"/>
      <c r="J142" s="301" t="n"/>
      <c r="K142" s="301" t="n"/>
      <c r="L142" s="301" t="n"/>
    </row>
    <row r="143" ht="15" customHeight="1" s="221">
      <c r="A143" s="301" t="n"/>
      <c r="B143" s="301" t="n"/>
      <c r="C143" s="301" t="n"/>
      <c r="D143" s="301" t="n"/>
      <c r="E143" s="301" t="n"/>
      <c r="F143" s="301" t="n"/>
      <c r="G143" s="301" t="n"/>
      <c r="H143" s="301" t="n"/>
      <c r="I143" s="301" t="n"/>
      <c r="J143" s="301" t="n"/>
      <c r="K143" s="301" t="n"/>
      <c r="L143" s="301" t="n"/>
    </row>
    <row r="144" ht="15" customHeight="1" s="221">
      <c r="A144" s="301" t="n"/>
      <c r="B144" s="301" t="n"/>
      <c r="C144" s="301" t="n"/>
      <c r="D144" s="301" t="n"/>
      <c r="E144" s="301" t="n"/>
      <c r="F144" s="301" t="n"/>
      <c r="G144" s="301" t="n"/>
      <c r="H144" s="301" t="n"/>
      <c r="I144" s="301" t="n"/>
      <c r="J144" s="301" t="n"/>
      <c r="K144" s="301" t="n"/>
      <c r="L144" s="301" t="n"/>
    </row>
    <row r="145" ht="15" customHeight="1" s="221">
      <c r="A145" s="301" t="n"/>
      <c r="B145" s="301" t="n"/>
      <c r="C145" s="301" t="n"/>
      <c r="D145" s="301" t="n"/>
      <c r="E145" s="301" t="n"/>
      <c r="F145" s="301" t="n"/>
      <c r="G145" s="301" t="n"/>
      <c r="H145" s="301" t="n"/>
      <c r="I145" s="301" t="n"/>
      <c r="J145" s="301" t="n"/>
      <c r="K145" s="301" t="n"/>
      <c r="L145" s="301" t="n"/>
    </row>
    <row r="146" ht="15" customHeight="1" s="221">
      <c r="A146" s="301" t="n"/>
      <c r="B146" s="301" t="n"/>
      <c r="C146" s="301" t="n"/>
      <c r="D146" s="301" t="n"/>
      <c r="E146" s="301" t="n"/>
      <c r="F146" s="301" t="n"/>
      <c r="G146" s="301" t="n"/>
      <c r="H146" s="301" t="n"/>
      <c r="I146" s="301" t="n"/>
      <c r="J146" s="301" t="n"/>
      <c r="K146" s="301" t="n"/>
      <c r="L146" s="301" t="n"/>
    </row>
    <row r="147" ht="15" customHeight="1" s="221">
      <c r="A147" s="301" t="n"/>
      <c r="B147" s="301" t="n"/>
      <c r="C147" s="301" t="n"/>
      <c r="D147" s="301" t="n"/>
      <c r="E147" s="301" t="n"/>
      <c r="F147" s="301" t="n"/>
      <c r="G147" s="301" t="n"/>
      <c r="H147" s="301" t="n"/>
      <c r="I147" s="301" t="n"/>
      <c r="J147" s="301" t="n"/>
      <c r="K147" s="301" t="n"/>
      <c r="L147" s="301" t="n"/>
    </row>
    <row r="148" ht="15" customHeight="1" s="221">
      <c r="A148" s="301" t="n"/>
      <c r="B148" s="301" t="n"/>
      <c r="C148" s="301" t="n"/>
      <c r="D148" s="301" t="n"/>
      <c r="E148" s="301" t="n"/>
      <c r="F148" s="301" t="n"/>
      <c r="G148" s="301" t="n"/>
      <c r="H148" s="301" t="n"/>
      <c r="I148" s="301" t="n"/>
      <c r="J148" s="301" t="n"/>
      <c r="K148" s="301" t="n"/>
      <c r="L148" s="301" t="n"/>
    </row>
    <row r="149" ht="15" customHeight="1" s="221">
      <c r="A149" s="301" t="n"/>
      <c r="B149" s="301" t="n"/>
      <c r="C149" s="301" t="n"/>
      <c r="D149" s="301" t="n"/>
      <c r="E149" s="301" t="n"/>
      <c r="F149" s="301" t="n"/>
      <c r="G149" s="301" t="n"/>
      <c r="H149" s="301" t="n"/>
      <c r="I149" s="301" t="n"/>
      <c r="J149" s="301" t="n"/>
      <c r="K149" s="301" t="n"/>
      <c r="L149" s="301" t="n"/>
    </row>
    <row r="150" ht="15" customHeight="1" s="221">
      <c r="A150" s="301" t="n"/>
      <c r="B150" s="301" t="n"/>
      <c r="C150" s="301" t="n"/>
      <c r="D150" s="301" t="n"/>
      <c r="E150" s="301" t="n"/>
      <c r="F150" s="301" t="n"/>
      <c r="G150" s="301" t="n"/>
      <c r="H150" s="301" t="n"/>
      <c r="I150" s="301" t="n"/>
      <c r="J150" s="301" t="n"/>
      <c r="K150" s="301" t="n"/>
      <c r="L150" s="301" t="n"/>
    </row>
  </sheetData>
  <mergeCells count="35">
    <mergeCell ref="G10:I10"/>
    <mergeCell ref="A8:D8"/>
    <mergeCell ref="A73:B73"/>
    <mergeCell ref="A62:D62"/>
    <mergeCell ref="G47:J47"/>
    <mergeCell ref="G54:J54"/>
    <mergeCell ref="A28:D28"/>
    <mergeCell ref="A26:C26"/>
    <mergeCell ref="G40:J40"/>
    <mergeCell ref="J77:K77"/>
    <mergeCell ref="A30:D30"/>
    <mergeCell ref="A51:D51"/>
    <mergeCell ref="A20:C20"/>
    <mergeCell ref="A3:B3"/>
    <mergeCell ref="G3:H3"/>
    <mergeCell ref="G67:J67"/>
    <mergeCell ref="A1:J1"/>
    <mergeCell ref="G8:J8"/>
    <mergeCell ref="G9:I9"/>
    <mergeCell ref="G65:H65"/>
    <mergeCell ref="D4:E4"/>
    <mergeCell ref="A41:D41"/>
    <mergeCell ref="G12:I12"/>
    <mergeCell ref="A17:B17"/>
    <mergeCell ref="D3:E3"/>
    <mergeCell ref="G64:H64"/>
    <mergeCell ref="G28:J28"/>
    <mergeCell ref="A4:B4"/>
    <mergeCell ref="G4:H4"/>
    <mergeCell ref="A72:B72"/>
    <mergeCell ref="A6:C6"/>
    <mergeCell ref="G34:J34"/>
    <mergeCell ref="G30:J30"/>
    <mergeCell ref="A9:B9"/>
    <mergeCell ref="G45:J45"/>
  </mergeCells>
  <conditionalFormatting sqref="B33:B200">
    <cfRule type="expression" rank="0" priority="2" equalAverage="0" aboveAverage="0" dxfId="0" text="" percent="0" bottom="0">
      <formula>$B33="Pagado"</formula>
    </cfRule>
    <cfRule type="expression" rank="0" priority="3" equalAverage="0" aboveAverage="0" dxfId="1" text="" percent="0" bottom="0">
      <formula>$B33="Pendiente"</formula>
    </cfRule>
    <cfRule type="expression" rank="0" priority="4" equalAverage="0" aboveAverage="0" dxfId="2" text="" percent="0" bottom="0">
      <formula>$B33="Cancelado"</formula>
    </cfRule>
  </conditionalFormatting>
  <dataValidations count="2">
    <dataValidation sqref="B33:B200" showDropDown="0" showInputMessage="0" showErrorMessage="0" allowBlank="1" type="list" errorStyle="stop" operator="between">
      <formula1>"Ninguno,Pendiente,Pagado,Cancelado"</formula1>
      <formula2>0</formula2>
    </dataValidation>
    <dataValidation sqref="H31:H62" showDropDown="0" showInputMessage="0" showErrorMessage="0" allowBlank="1" errorTitle="Estado inválido" error="Selecciona un estado válido" type="list">
      <formula1>"Ninguno,Pendiente,Pagado,Cancelado"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E67E22"/>
    <outlinePr summaryBelow="1" summaryRight="1"/>
    <pageSetUpPr fitToPage="0"/>
  </sheetPr>
  <dimension ref="A1:J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2" customWidth="1" style="220" min="1" max="2"/>
    <col width="18" customWidth="1" style="220" min="3" max="3"/>
    <col width="28" customWidth="1" style="220" min="4" max="4"/>
    <col width="14" customWidth="1" style="220" min="5" max="6"/>
    <col width="18" customWidth="1" style="220" min="7" max="8"/>
  </cols>
  <sheetData>
    <row r="1" ht="18" customHeight="1" s="221">
      <c r="A1" s="310" t="inlineStr">
        <is>
          <t>📋 REGISTRO DE MOVIMIENTOS - MARZO 2026</t>
        </is>
      </c>
      <c r="I1" s="301" t="n"/>
      <c r="J1" s="301" t="n"/>
    </row>
    <row r="2" ht="15" customHeight="1" s="221">
      <c r="A2" s="301" t="n"/>
      <c r="B2" s="301" t="n"/>
      <c r="C2" s="301" t="n"/>
      <c r="D2" s="301" t="n"/>
      <c r="E2" s="301" t="n"/>
      <c r="F2" s="301" t="n"/>
      <c r="G2" s="301" t="n"/>
      <c r="H2" s="301" t="n"/>
      <c r="I2" s="301" t="n"/>
      <c r="J2" s="301" t="n"/>
    </row>
    <row r="3" ht="15" customHeight="1" s="221">
      <c r="A3" s="311" t="inlineStr">
        <is>
          <t>Fecha</t>
        </is>
      </c>
      <c r="B3" s="312" t="inlineStr">
        <is>
          <t>Tipo</t>
        </is>
      </c>
      <c r="C3" s="312" t="inlineStr">
        <is>
          <t>Categoría</t>
        </is>
      </c>
      <c r="D3" s="311" t="inlineStr">
        <is>
          <t>Descripción</t>
        </is>
      </c>
      <c r="E3" s="311" t="inlineStr">
        <is>
          <t>Ingreso</t>
        </is>
      </c>
      <c r="F3" s="311" t="inlineStr">
        <is>
          <t>Egreso</t>
        </is>
      </c>
      <c r="G3" s="311" t="inlineStr">
        <is>
          <t>Cuenta</t>
        </is>
      </c>
      <c r="H3" s="311" t="inlineStr">
        <is>
          <t>Notas</t>
        </is>
      </c>
      <c r="I3" s="301" t="n"/>
      <c r="J3" s="301" t="n"/>
    </row>
    <row r="4" ht="15" customHeight="1" s="221">
      <c r="A4" s="313" t="n"/>
      <c r="B4" s="314" t="n"/>
      <c r="C4" s="315" t="n"/>
      <c r="D4" s="316" t="n"/>
      <c r="E4" s="317" t="n"/>
      <c r="F4" s="317" t="n"/>
      <c r="G4" s="318" t="n"/>
      <c r="H4" s="316" t="n"/>
      <c r="I4" s="301" t="n"/>
      <c r="J4" s="301" t="n"/>
    </row>
    <row r="5" ht="15" customHeight="1" s="221">
      <c r="A5" s="319" t="n"/>
      <c r="B5" s="320" t="n"/>
      <c r="C5" s="321" t="n"/>
      <c r="D5" s="322" t="n"/>
      <c r="E5" s="323" t="n"/>
      <c r="F5" s="323" t="n"/>
      <c r="G5" s="324" t="n"/>
      <c r="H5" s="322" t="n"/>
      <c r="I5" s="301" t="n"/>
      <c r="J5" s="301" t="n"/>
    </row>
    <row r="6" ht="15" customHeight="1" s="221">
      <c r="A6" s="313" t="n"/>
      <c r="B6" s="314" t="n"/>
      <c r="C6" s="315" t="n"/>
      <c r="D6" s="316" t="n"/>
      <c r="E6" s="317" t="n"/>
      <c r="F6" s="317" t="n"/>
      <c r="G6" s="318" t="n"/>
      <c r="H6" s="316" t="n"/>
      <c r="I6" s="301" t="n"/>
      <c r="J6" s="301" t="n"/>
    </row>
    <row r="7" ht="15" customHeight="1" s="221">
      <c r="A7" s="319" t="n"/>
      <c r="B7" s="320" t="n"/>
      <c r="C7" s="321" t="n"/>
      <c r="D7" s="322" t="n"/>
      <c r="E7" s="323" t="n"/>
      <c r="F7" s="323" t="n"/>
      <c r="G7" s="324" t="n"/>
      <c r="H7" s="322" t="n"/>
      <c r="I7" s="301" t="n"/>
      <c r="J7" s="301" t="n"/>
    </row>
    <row r="8" ht="15" customHeight="1" s="221">
      <c r="A8" s="313" t="n"/>
      <c r="B8" s="314" t="n"/>
      <c r="C8" s="315" t="n"/>
      <c r="D8" s="316" t="n"/>
      <c r="E8" s="317" t="n"/>
      <c r="F8" s="317" t="n"/>
      <c r="G8" s="318" t="n"/>
      <c r="H8" s="316" t="n"/>
      <c r="I8" s="301" t="n"/>
      <c r="J8" s="301" t="n"/>
    </row>
    <row r="9" ht="15" customHeight="1" s="221">
      <c r="A9" s="319" t="n"/>
      <c r="B9" s="320" t="n"/>
      <c r="C9" s="321" t="n"/>
      <c r="D9" s="322" t="n"/>
      <c r="E9" s="323" t="n"/>
      <c r="F9" s="323" t="n"/>
      <c r="G9" s="324" t="n"/>
      <c r="H9" s="322" t="n"/>
      <c r="I9" s="301" t="n"/>
      <c r="J9" s="301" t="n"/>
    </row>
    <row r="10" ht="15" customHeight="1" s="221">
      <c r="A10" s="313" t="n"/>
      <c r="B10" s="314" t="n"/>
      <c r="C10" s="315" t="n"/>
      <c r="D10" s="316" t="n"/>
      <c r="E10" s="317" t="n"/>
      <c r="F10" s="317" t="n"/>
      <c r="G10" s="318" t="n"/>
      <c r="H10" s="316" t="n"/>
      <c r="I10" s="301" t="n"/>
      <c r="J10" s="301" t="n"/>
    </row>
    <row r="11" ht="15" customHeight="1" s="221">
      <c r="A11" s="319" t="n"/>
      <c r="B11" s="320" t="n"/>
      <c r="C11" s="321" t="n"/>
      <c r="D11" s="322" t="n"/>
      <c r="E11" s="323" t="n"/>
      <c r="F11" s="323" t="n"/>
      <c r="G11" s="324" t="n"/>
      <c r="H11" s="322" t="n"/>
      <c r="I11" s="301" t="n"/>
      <c r="J11" s="301" t="n"/>
    </row>
    <row r="12" ht="15" customHeight="1" s="221">
      <c r="A12" s="313" t="n"/>
      <c r="B12" s="314" t="n"/>
      <c r="C12" s="315" t="n"/>
      <c r="D12" s="316" t="n"/>
      <c r="E12" s="317" t="n"/>
      <c r="F12" s="317" t="n"/>
      <c r="G12" s="318" t="n"/>
      <c r="H12" s="316" t="n"/>
      <c r="I12" s="301" t="n"/>
      <c r="J12" s="301" t="n"/>
    </row>
    <row r="13" ht="15" customHeight="1" s="221">
      <c r="A13" s="319" t="n"/>
      <c r="B13" s="320" t="n"/>
      <c r="C13" s="321" t="n"/>
      <c r="D13" s="322" t="n"/>
      <c r="E13" s="323" t="n"/>
      <c r="F13" s="323" t="n"/>
      <c r="G13" s="324" t="n"/>
      <c r="H13" s="322" t="n"/>
      <c r="I13" s="301" t="n"/>
      <c r="J13" s="301" t="n"/>
    </row>
    <row r="14" ht="15" customHeight="1" s="221">
      <c r="A14" s="313" t="n"/>
      <c r="B14" s="314" t="n"/>
      <c r="C14" s="315" t="n"/>
      <c r="D14" s="316" t="n"/>
      <c r="E14" s="317" t="n"/>
      <c r="F14" s="317" t="n"/>
      <c r="G14" s="318" t="n"/>
      <c r="H14" s="316" t="n"/>
      <c r="I14" s="301" t="n"/>
      <c r="J14" s="301" t="n"/>
    </row>
    <row r="15" ht="15" customHeight="1" s="221">
      <c r="A15" s="319" t="n"/>
      <c r="B15" s="320" t="n"/>
      <c r="C15" s="321" t="n"/>
      <c r="D15" s="322" t="n"/>
      <c r="E15" s="323" t="n"/>
      <c r="F15" s="323" t="n"/>
      <c r="G15" s="324" t="n"/>
      <c r="H15" s="322" t="n"/>
      <c r="I15" s="301" t="n"/>
      <c r="J15" s="301" t="n"/>
    </row>
    <row r="16" ht="15" customHeight="1" s="221">
      <c r="A16" s="313" t="n"/>
      <c r="B16" s="314" t="n"/>
      <c r="C16" s="315" t="n"/>
      <c r="D16" s="316" t="n"/>
      <c r="E16" s="317" t="n"/>
      <c r="F16" s="317" t="n"/>
      <c r="G16" s="318" t="n"/>
      <c r="H16" s="316" t="n"/>
      <c r="I16" s="301" t="n"/>
      <c r="J16" s="301" t="n"/>
    </row>
    <row r="17" ht="15" customHeight="1" s="221">
      <c r="A17" s="319" t="n"/>
      <c r="B17" s="320" t="n"/>
      <c r="C17" s="321" t="n"/>
      <c r="D17" s="322" t="n"/>
      <c r="E17" s="323" t="n"/>
      <c r="F17" s="323" t="n"/>
      <c r="G17" s="324" t="n"/>
      <c r="H17" s="322" t="n"/>
      <c r="I17" s="301" t="n"/>
      <c r="J17" s="301" t="n"/>
    </row>
    <row r="18" ht="15" customHeight="1" s="221">
      <c r="A18" s="313" t="n"/>
      <c r="B18" s="314" t="n"/>
      <c r="C18" s="315" t="n"/>
      <c r="D18" s="316" t="n"/>
      <c r="E18" s="317" t="n"/>
      <c r="F18" s="317" t="n"/>
      <c r="G18" s="318" t="n"/>
      <c r="H18" s="316" t="n"/>
      <c r="I18" s="301" t="n"/>
      <c r="J18" s="301" t="n"/>
    </row>
    <row r="19" ht="15" customHeight="1" s="221">
      <c r="A19" s="319" t="n"/>
      <c r="B19" s="320" t="n"/>
      <c r="C19" s="321" t="n"/>
      <c r="D19" s="322" t="n"/>
      <c r="E19" s="323" t="n"/>
      <c r="F19" s="323" t="n"/>
      <c r="G19" s="324" t="n"/>
      <c r="H19" s="322" t="n"/>
      <c r="I19" s="301" t="n"/>
      <c r="J19" s="301" t="n"/>
    </row>
    <row r="20" ht="15" customHeight="1" s="221">
      <c r="A20" s="313" t="n"/>
      <c r="B20" s="314" t="n"/>
      <c r="C20" s="315" t="n"/>
      <c r="D20" s="316" t="n"/>
      <c r="E20" s="317" t="n"/>
      <c r="F20" s="317" t="n"/>
      <c r="G20" s="318" t="n"/>
      <c r="H20" s="316" t="n"/>
      <c r="I20" s="301" t="n"/>
      <c r="J20" s="301" t="n"/>
    </row>
    <row r="21" ht="15" customHeight="1" s="221">
      <c r="A21" s="319" t="n"/>
      <c r="B21" s="320" t="n"/>
      <c r="C21" s="321" t="n"/>
      <c r="D21" s="322" t="n"/>
      <c r="E21" s="323" t="n"/>
      <c r="F21" s="323" t="n"/>
      <c r="G21" s="324" t="n"/>
      <c r="H21" s="322" t="n"/>
      <c r="I21" s="301" t="n"/>
      <c r="J21" s="301" t="n"/>
    </row>
    <row r="22" ht="15" customHeight="1" s="221">
      <c r="A22" s="313" t="n"/>
      <c r="B22" s="314" t="n"/>
      <c r="C22" s="315" t="n"/>
      <c r="D22" s="316" t="n"/>
      <c r="E22" s="317" t="n"/>
      <c r="F22" s="317" t="n"/>
      <c r="G22" s="318" t="n"/>
      <c r="H22" s="316" t="n"/>
      <c r="I22" s="301" t="n"/>
      <c r="J22" s="301" t="n"/>
    </row>
    <row r="23" ht="15" customHeight="1" s="221">
      <c r="A23" s="319" t="n"/>
      <c r="B23" s="320" t="n"/>
      <c r="C23" s="321" t="n"/>
      <c r="D23" s="322" t="n"/>
      <c r="E23" s="323" t="n"/>
      <c r="F23" s="323" t="n"/>
      <c r="G23" s="324" t="n"/>
      <c r="H23" s="322" t="n"/>
      <c r="I23" s="301" t="n"/>
      <c r="J23" s="301" t="n"/>
    </row>
    <row r="24" ht="15" customHeight="1" s="221">
      <c r="A24" s="313" t="n"/>
      <c r="B24" s="318" t="n"/>
      <c r="C24" s="315" t="n"/>
      <c r="D24" s="316" t="n"/>
      <c r="E24" s="317" t="n"/>
      <c r="F24" s="317" t="n"/>
      <c r="G24" s="318" t="n"/>
      <c r="H24" s="316" t="n"/>
      <c r="I24" s="301" t="n"/>
      <c r="J24" s="301" t="n"/>
    </row>
    <row r="25" ht="15" customHeight="1" s="221">
      <c r="A25" s="319" t="n"/>
      <c r="B25" s="324" t="n"/>
      <c r="C25" s="321" t="n"/>
      <c r="D25" s="322" t="n"/>
      <c r="E25" s="323" t="n"/>
      <c r="F25" s="323" t="n"/>
      <c r="G25" s="324" t="n"/>
      <c r="H25" s="322" t="n"/>
      <c r="I25" s="301" t="n"/>
      <c r="J25" s="301" t="n"/>
    </row>
    <row r="26" ht="15" customHeight="1" s="221">
      <c r="A26" s="313" t="n"/>
      <c r="B26" s="318" t="n"/>
      <c r="C26" s="315" t="n"/>
      <c r="D26" s="316" t="n"/>
      <c r="E26" s="317" t="n"/>
      <c r="F26" s="317" t="n"/>
      <c r="G26" s="318" t="n"/>
      <c r="H26" s="316" t="n"/>
      <c r="I26" s="301" t="n"/>
      <c r="J26" s="301" t="n"/>
    </row>
    <row r="27" ht="15" customHeight="1" s="221">
      <c r="A27" s="319" t="n"/>
      <c r="B27" s="324" t="n"/>
      <c r="C27" s="321" t="n"/>
      <c r="D27" s="322" t="n"/>
      <c r="E27" s="323" t="n"/>
      <c r="F27" s="323" t="n"/>
      <c r="G27" s="324" t="n"/>
      <c r="H27" s="322" t="n"/>
      <c r="I27" s="301" t="n"/>
      <c r="J27" s="301" t="n"/>
    </row>
    <row r="28" ht="15" customHeight="1" s="221">
      <c r="A28" s="313" t="n"/>
      <c r="B28" s="318" t="n"/>
      <c r="C28" s="315" t="n"/>
      <c r="D28" s="316" t="n"/>
      <c r="E28" s="317" t="n"/>
      <c r="F28" s="317" t="n"/>
      <c r="G28" s="318" t="n"/>
      <c r="H28" s="316" t="n"/>
      <c r="I28" s="301" t="n"/>
      <c r="J28" s="301" t="n"/>
    </row>
    <row r="29" ht="15" customHeight="1" s="221">
      <c r="A29" s="319" t="n"/>
      <c r="B29" s="324" t="n"/>
      <c r="C29" s="321" t="n"/>
      <c r="D29" s="322" t="n"/>
      <c r="E29" s="323" t="n"/>
      <c r="F29" s="323" t="n"/>
      <c r="G29" s="324" t="n"/>
      <c r="H29" s="322" t="n"/>
      <c r="I29" s="301" t="n"/>
      <c r="J29" s="301" t="n"/>
    </row>
    <row r="30" ht="15" customHeight="1" s="221">
      <c r="A30" s="313" t="n"/>
      <c r="B30" s="318" t="n"/>
      <c r="C30" s="315" t="n"/>
      <c r="D30" s="316" t="n"/>
      <c r="E30" s="317" t="n"/>
      <c r="F30" s="317" t="n"/>
      <c r="G30" s="318" t="n"/>
      <c r="H30" s="316" t="n"/>
      <c r="I30" s="301" t="n"/>
      <c r="J30" s="301" t="n"/>
    </row>
    <row r="31" ht="15" customHeight="1" s="221">
      <c r="A31" s="319" t="n"/>
      <c r="B31" s="324" t="n"/>
      <c r="C31" s="321" t="n"/>
      <c r="D31" s="322" t="n"/>
      <c r="E31" s="323" t="n"/>
      <c r="F31" s="323" t="n"/>
      <c r="G31" s="324" t="n"/>
      <c r="H31" s="322" t="n"/>
      <c r="I31" s="301" t="n"/>
      <c r="J31" s="301" t="n"/>
    </row>
    <row r="32" ht="15" customHeight="1" s="221">
      <c r="A32" s="313" t="n"/>
      <c r="B32" s="318" t="n"/>
      <c r="C32" s="315" t="n"/>
      <c r="D32" s="316" t="n"/>
      <c r="E32" s="317" t="n"/>
      <c r="F32" s="317" t="n"/>
      <c r="G32" s="318" t="n"/>
      <c r="H32" s="316" t="n"/>
      <c r="I32" s="301" t="n"/>
      <c r="J32" s="301" t="n"/>
    </row>
    <row r="33" ht="15" customHeight="1" s="221">
      <c r="A33" s="319" t="n"/>
      <c r="B33" s="324" t="n"/>
      <c r="C33" s="321" t="n"/>
      <c r="D33" s="322" t="n"/>
      <c r="E33" s="323" t="n"/>
      <c r="F33" s="323" t="n"/>
      <c r="G33" s="324" t="n"/>
      <c r="H33" s="322" t="n"/>
      <c r="I33" s="301" t="n"/>
      <c r="J33" s="301" t="n"/>
    </row>
    <row r="34" ht="15" customHeight="1" s="221">
      <c r="A34" s="313" t="n"/>
      <c r="B34" s="318" t="n"/>
      <c r="C34" s="315" t="n"/>
      <c r="D34" s="316" t="n"/>
      <c r="E34" s="317" t="n"/>
      <c r="F34" s="317" t="n"/>
      <c r="G34" s="318" t="n"/>
      <c r="H34" s="316" t="n"/>
      <c r="I34" s="301" t="n"/>
      <c r="J34" s="301" t="n"/>
    </row>
    <row r="35" ht="15" customHeight="1" s="221">
      <c r="A35" s="319" t="n"/>
      <c r="B35" s="324" t="n"/>
      <c r="C35" s="322" t="n"/>
      <c r="D35" s="322" t="n"/>
      <c r="E35" s="323" t="n"/>
      <c r="F35" s="323" t="n"/>
      <c r="G35" s="324" t="n"/>
      <c r="H35" s="322" t="n"/>
      <c r="I35" s="301" t="n"/>
      <c r="J35" s="301" t="n"/>
    </row>
    <row r="36" ht="15" customHeight="1" s="221">
      <c r="A36" s="313" t="n"/>
      <c r="B36" s="318" t="n"/>
      <c r="C36" s="316" t="n"/>
      <c r="D36" s="316" t="n"/>
      <c r="E36" s="317" t="n"/>
      <c r="F36" s="317" t="n"/>
      <c r="G36" s="318" t="n"/>
      <c r="H36" s="316" t="n"/>
      <c r="I36" s="301" t="n"/>
      <c r="J36" s="301" t="n"/>
    </row>
    <row r="37" ht="15" customHeight="1" s="221">
      <c r="A37" s="319" t="n"/>
      <c r="B37" s="324" t="n"/>
      <c r="C37" s="322" t="n"/>
      <c r="D37" s="322" t="n"/>
      <c r="E37" s="323" t="n"/>
      <c r="F37" s="323" t="n"/>
      <c r="G37" s="324" t="n"/>
      <c r="H37" s="322" t="n"/>
      <c r="I37" s="301" t="n"/>
      <c r="J37" s="301" t="n"/>
    </row>
    <row r="38" ht="15" customHeight="1" s="221">
      <c r="A38" s="313" t="n"/>
      <c r="B38" s="318" t="n"/>
      <c r="C38" s="316" t="n"/>
      <c r="D38" s="316" t="n"/>
      <c r="E38" s="317" t="n"/>
      <c r="F38" s="317" t="n"/>
      <c r="G38" s="318" t="n"/>
      <c r="H38" s="316" t="n"/>
      <c r="I38" s="301" t="n"/>
      <c r="J38" s="301" t="n"/>
    </row>
    <row r="39" ht="15" customHeight="1" s="221">
      <c r="A39" s="319" t="n"/>
      <c r="B39" s="324" t="n"/>
      <c r="C39" s="322" t="n"/>
      <c r="D39" s="322" t="n"/>
      <c r="E39" s="323" t="n"/>
      <c r="F39" s="323" t="n"/>
      <c r="G39" s="324" t="n"/>
      <c r="H39" s="322" t="n"/>
      <c r="I39" s="301" t="n"/>
      <c r="J39" s="301" t="n"/>
    </row>
    <row r="40" ht="15" customHeight="1" s="221">
      <c r="A40" s="313" t="n"/>
      <c r="B40" s="318" t="n"/>
      <c r="C40" s="316" t="n"/>
      <c r="D40" s="316" t="n"/>
      <c r="E40" s="317" t="n"/>
      <c r="F40" s="317" t="n"/>
      <c r="G40" s="318" t="n"/>
      <c r="H40" s="316" t="n"/>
      <c r="I40" s="301" t="n"/>
      <c r="J40" s="301" t="n"/>
    </row>
    <row r="41" ht="15" customHeight="1" s="221">
      <c r="A41" s="319" t="n"/>
      <c r="B41" s="324" t="n"/>
      <c r="C41" s="322" t="n"/>
      <c r="D41" s="322" t="n"/>
      <c r="E41" s="323" t="n"/>
      <c r="F41" s="323" t="n"/>
      <c r="G41" s="324" t="n"/>
      <c r="H41" s="322" t="n"/>
      <c r="I41" s="301" t="n"/>
      <c r="J41" s="301" t="n"/>
    </row>
    <row r="42" ht="15" customHeight="1" s="221">
      <c r="A42" s="313" t="n"/>
      <c r="B42" s="318" t="n"/>
      <c r="C42" s="316" t="n"/>
      <c r="D42" s="316" t="n"/>
      <c r="E42" s="317" t="n"/>
      <c r="F42" s="317" t="n"/>
      <c r="G42" s="318" t="n"/>
      <c r="H42" s="316" t="n"/>
      <c r="I42" s="301" t="n"/>
      <c r="J42" s="301" t="n"/>
    </row>
    <row r="43" ht="15" customHeight="1" s="221">
      <c r="A43" s="319" t="n"/>
      <c r="B43" s="324" t="n"/>
      <c r="C43" s="322" t="n"/>
      <c r="D43" s="322" t="n"/>
      <c r="E43" s="323" t="n"/>
      <c r="F43" s="323" t="n"/>
      <c r="G43" s="324" t="n"/>
      <c r="H43" s="322" t="n"/>
      <c r="I43" s="301" t="n"/>
      <c r="J43" s="301" t="n"/>
    </row>
    <row r="44" ht="15" customHeight="1" s="221">
      <c r="A44" s="313" t="n"/>
      <c r="B44" s="318" t="n"/>
      <c r="C44" s="316" t="n"/>
      <c r="D44" s="316" t="n"/>
      <c r="E44" s="317" t="n"/>
      <c r="F44" s="317" t="n"/>
      <c r="G44" s="318" t="n"/>
      <c r="H44" s="316" t="n"/>
      <c r="I44" s="301" t="n"/>
      <c r="J44" s="301" t="n"/>
    </row>
    <row r="45" ht="15" customHeight="1" s="221">
      <c r="A45" s="319" t="n"/>
      <c r="B45" s="324" t="n"/>
      <c r="C45" s="322" t="n"/>
      <c r="D45" s="322" t="n"/>
      <c r="E45" s="323" t="n"/>
      <c r="F45" s="323" t="n"/>
      <c r="G45" s="324" t="n"/>
      <c r="H45" s="322" t="n"/>
      <c r="I45" s="301" t="n"/>
      <c r="J45" s="301" t="n"/>
    </row>
    <row r="46" ht="15" customHeight="1" s="221">
      <c r="A46" s="313" t="n"/>
      <c r="B46" s="318" t="n"/>
      <c r="C46" s="316" t="n"/>
      <c r="D46" s="316" t="n"/>
      <c r="E46" s="317" t="n"/>
      <c r="F46" s="317" t="n"/>
      <c r="G46" s="318" t="n"/>
      <c r="H46" s="316" t="n"/>
      <c r="I46" s="301" t="n"/>
      <c r="J46" s="301" t="n"/>
    </row>
    <row r="47" ht="15" customHeight="1" s="221">
      <c r="A47" s="319" t="n"/>
      <c r="B47" s="324" t="n"/>
      <c r="C47" s="322" t="n"/>
      <c r="D47" s="322" t="n"/>
      <c r="E47" s="323" t="n"/>
      <c r="F47" s="323" t="n"/>
      <c r="G47" s="324" t="n"/>
      <c r="H47" s="322" t="n"/>
      <c r="I47" s="301" t="n"/>
      <c r="J47" s="301" t="n"/>
    </row>
    <row r="48" ht="15" customHeight="1" s="221">
      <c r="A48" s="313" t="n"/>
      <c r="B48" s="318" t="n"/>
      <c r="C48" s="316" t="n"/>
      <c r="D48" s="316" t="n"/>
      <c r="E48" s="317" t="n"/>
      <c r="F48" s="317" t="n"/>
      <c r="G48" s="318" t="n"/>
      <c r="H48" s="316" t="n"/>
      <c r="I48" s="301" t="n"/>
      <c r="J48" s="301" t="n"/>
    </row>
    <row r="49" ht="15" customHeight="1" s="221">
      <c r="A49" s="319" t="n"/>
      <c r="B49" s="324" t="n"/>
      <c r="C49" s="322" t="n"/>
      <c r="D49" s="322" t="n"/>
      <c r="E49" s="323" t="n"/>
      <c r="F49" s="323" t="n"/>
      <c r="G49" s="324" t="n"/>
      <c r="H49" s="322" t="n"/>
      <c r="I49" s="301" t="n"/>
      <c r="J49" s="301" t="n"/>
    </row>
    <row r="50" ht="15" customHeight="1" s="221">
      <c r="A50" s="313" t="n"/>
      <c r="B50" s="318" t="n"/>
      <c r="C50" s="316" t="n"/>
      <c r="D50" s="316" t="n"/>
      <c r="E50" s="317" t="n"/>
      <c r="F50" s="317" t="n"/>
      <c r="G50" s="318" t="n"/>
      <c r="H50" s="316" t="n"/>
      <c r="I50" s="301" t="n"/>
      <c r="J50" s="301" t="n"/>
    </row>
    <row r="51" ht="15" customHeight="1" s="221">
      <c r="A51" s="319" t="n"/>
      <c r="B51" s="324" t="n"/>
      <c r="C51" s="322" t="n"/>
      <c r="D51" s="322" t="n"/>
      <c r="E51" s="323" t="n"/>
      <c r="F51" s="323" t="n"/>
      <c r="G51" s="324" t="n"/>
      <c r="H51" s="322" t="n"/>
      <c r="I51" s="301" t="n"/>
      <c r="J51" s="301" t="n"/>
    </row>
    <row r="52" ht="15" customHeight="1" s="221">
      <c r="A52" s="313" t="n"/>
      <c r="B52" s="318" t="n"/>
      <c r="C52" s="316" t="n"/>
      <c r="D52" s="316" t="n"/>
      <c r="E52" s="317" t="n"/>
      <c r="F52" s="317" t="n"/>
      <c r="G52" s="318" t="n"/>
      <c r="H52" s="316" t="n"/>
      <c r="I52" s="301" t="n"/>
      <c r="J52" s="301" t="n"/>
    </row>
    <row r="53" ht="15" customHeight="1" s="221">
      <c r="A53" s="319" t="n"/>
      <c r="B53" s="324" t="n"/>
      <c r="C53" s="322" t="n"/>
      <c r="D53" s="322" t="n"/>
      <c r="E53" s="323" t="n"/>
      <c r="F53" s="323" t="n"/>
      <c r="G53" s="324" t="n"/>
      <c r="H53" s="322" t="n"/>
      <c r="I53" s="301" t="n"/>
      <c r="J53" s="301" t="n"/>
    </row>
    <row r="54" ht="15" customHeight="1" s="221">
      <c r="A54" s="313" t="n"/>
      <c r="B54" s="318" t="n"/>
      <c r="C54" s="316" t="n"/>
      <c r="D54" s="316" t="n"/>
      <c r="E54" s="317" t="n"/>
      <c r="F54" s="317" t="n"/>
      <c r="G54" s="318" t="n"/>
      <c r="H54" s="316" t="n"/>
      <c r="I54" s="301" t="n"/>
      <c r="J54" s="301" t="n"/>
    </row>
    <row r="55" ht="15" customHeight="1" s="221">
      <c r="A55" s="319" t="n"/>
      <c r="B55" s="324" t="n"/>
      <c r="C55" s="322" t="n"/>
      <c r="D55" s="322" t="n"/>
      <c r="E55" s="323" t="n"/>
      <c r="F55" s="323" t="n"/>
      <c r="G55" s="324" t="n"/>
      <c r="H55" s="322" t="n"/>
      <c r="I55" s="301" t="n"/>
      <c r="J55" s="301" t="n"/>
    </row>
    <row r="56" ht="15" customHeight="1" s="221">
      <c r="A56" s="313" t="n"/>
      <c r="B56" s="318" t="n"/>
      <c r="C56" s="316" t="n"/>
      <c r="D56" s="316" t="n"/>
      <c r="E56" s="317" t="n"/>
      <c r="F56" s="317" t="n"/>
      <c r="G56" s="318" t="n"/>
      <c r="H56" s="316" t="n"/>
      <c r="I56" s="301" t="n"/>
      <c r="J56" s="301" t="n"/>
    </row>
    <row r="57" ht="15" customHeight="1" s="221">
      <c r="A57" s="319" t="n"/>
      <c r="B57" s="324" t="n"/>
      <c r="C57" s="322" t="n"/>
      <c r="D57" s="322" t="n"/>
      <c r="E57" s="323" t="n"/>
      <c r="F57" s="323" t="n"/>
      <c r="G57" s="324" t="n"/>
      <c r="H57" s="322" t="n"/>
      <c r="I57" s="301" t="n"/>
      <c r="J57" s="301" t="n"/>
    </row>
    <row r="58" ht="15" customHeight="1" s="221">
      <c r="A58" s="313" t="n"/>
      <c r="B58" s="318" t="n"/>
      <c r="C58" s="316" t="n"/>
      <c r="D58" s="316" t="n"/>
      <c r="E58" s="317" t="n"/>
      <c r="F58" s="317" t="n"/>
      <c r="G58" s="318" t="n"/>
      <c r="H58" s="316" t="n"/>
      <c r="I58" s="301" t="n"/>
      <c r="J58" s="301" t="n"/>
    </row>
    <row r="59" ht="15" customHeight="1" s="221">
      <c r="A59" s="319" t="n"/>
      <c r="B59" s="324" t="n"/>
      <c r="C59" s="322" t="n"/>
      <c r="D59" s="322" t="n"/>
      <c r="E59" s="323" t="n"/>
      <c r="F59" s="323" t="n"/>
      <c r="G59" s="324" t="n"/>
      <c r="H59" s="322" t="n"/>
      <c r="I59" s="301" t="n"/>
      <c r="J59" s="301" t="n"/>
    </row>
    <row r="60" ht="15" customHeight="1" s="221">
      <c r="A60" s="313" t="n"/>
      <c r="B60" s="318" t="n"/>
      <c r="C60" s="316" t="n"/>
      <c r="D60" s="316" t="n"/>
      <c r="E60" s="317" t="n"/>
      <c r="F60" s="317" t="n"/>
      <c r="G60" s="318" t="n"/>
      <c r="H60" s="316" t="n"/>
      <c r="I60" s="301" t="n"/>
      <c r="J60" s="301" t="n"/>
    </row>
    <row r="61" ht="15" customHeight="1" s="221">
      <c r="A61" s="319" t="n"/>
      <c r="B61" s="324" t="n"/>
      <c r="C61" s="322" t="n"/>
      <c r="D61" s="322" t="n"/>
      <c r="E61" s="323" t="n"/>
      <c r="F61" s="323" t="n"/>
      <c r="G61" s="324" t="n"/>
      <c r="H61" s="322" t="n"/>
      <c r="I61" s="301" t="n"/>
      <c r="J61" s="301" t="n"/>
    </row>
    <row r="62" ht="15" customHeight="1" s="221">
      <c r="A62" s="313" t="n"/>
      <c r="B62" s="318" t="n"/>
      <c r="C62" s="316" t="n"/>
      <c r="D62" s="316" t="n"/>
      <c r="E62" s="317" t="n"/>
      <c r="F62" s="317" t="n"/>
      <c r="G62" s="318" t="n"/>
      <c r="H62" s="316" t="n"/>
      <c r="I62" s="301" t="n"/>
      <c r="J62" s="301" t="n"/>
    </row>
    <row r="63" ht="15" customHeight="1" s="221">
      <c r="A63" s="319" t="n"/>
      <c r="B63" s="324" t="n"/>
      <c r="C63" s="322" t="n"/>
      <c r="D63" s="322" t="n"/>
      <c r="E63" s="323" t="n"/>
      <c r="F63" s="323" t="n"/>
      <c r="G63" s="324" t="n"/>
      <c r="H63" s="322" t="n"/>
      <c r="I63" s="301" t="n"/>
      <c r="J63" s="301" t="n"/>
    </row>
    <row r="64" ht="15" customHeight="1" s="221">
      <c r="A64" s="313" t="n"/>
      <c r="B64" s="318" t="n"/>
      <c r="C64" s="316" t="n"/>
      <c r="D64" s="316" t="n"/>
      <c r="E64" s="317" t="n"/>
      <c r="F64" s="317" t="n"/>
      <c r="G64" s="318" t="n"/>
      <c r="H64" s="316" t="n"/>
      <c r="I64" s="301" t="n"/>
      <c r="J64" s="301" t="n"/>
    </row>
    <row r="65" ht="15" customHeight="1" s="221">
      <c r="A65" s="319" t="n"/>
      <c r="B65" s="324" t="n"/>
      <c r="C65" s="322" t="n"/>
      <c r="D65" s="322" t="n"/>
      <c r="E65" s="323" t="n"/>
      <c r="F65" s="323" t="n"/>
      <c r="G65" s="324" t="n"/>
      <c r="H65" s="322" t="n"/>
      <c r="I65" s="301" t="n"/>
      <c r="J65" s="301" t="n"/>
    </row>
    <row r="66" ht="15" customHeight="1" s="221">
      <c r="A66" s="313" t="n"/>
      <c r="B66" s="318" t="n"/>
      <c r="C66" s="316" t="n"/>
      <c r="D66" s="316" t="n"/>
      <c r="E66" s="317" t="n"/>
      <c r="F66" s="317" t="n"/>
      <c r="G66" s="318" t="n"/>
      <c r="H66" s="316" t="n"/>
      <c r="I66" s="301" t="n"/>
      <c r="J66" s="301" t="n"/>
    </row>
    <row r="67" ht="15" customHeight="1" s="221">
      <c r="A67" s="319" t="n"/>
      <c r="B67" s="324" t="n"/>
      <c r="C67" s="322" t="n"/>
      <c r="D67" s="322" t="n"/>
      <c r="E67" s="323" t="n"/>
      <c r="F67" s="323" t="n"/>
      <c r="G67" s="324" t="n"/>
      <c r="H67" s="322" t="n"/>
      <c r="I67" s="301" t="n"/>
      <c r="J67" s="301" t="n"/>
    </row>
    <row r="68" ht="15" customHeight="1" s="221">
      <c r="A68" s="313" t="n"/>
      <c r="B68" s="318" t="n"/>
      <c r="C68" s="316" t="n"/>
      <c r="D68" s="316" t="n"/>
      <c r="E68" s="317" t="n"/>
      <c r="F68" s="317" t="n"/>
      <c r="G68" s="318" t="n"/>
      <c r="H68" s="316" t="n"/>
      <c r="I68" s="301" t="n"/>
      <c r="J68" s="301" t="n"/>
    </row>
    <row r="69" ht="15" customHeight="1" s="221">
      <c r="A69" s="319" t="n"/>
      <c r="B69" s="324" t="n"/>
      <c r="C69" s="322" t="n"/>
      <c r="D69" s="322" t="n"/>
      <c r="E69" s="323" t="n"/>
      <c r="F69" s="323" t="n"/>
      <c r="G69" s="324" t="n"/>
      <c r="H69" s="322" t="n"/>
      <c r="I69" s="301" t="n"/>
      <c r="J69" s="301" t="n"/>
    </row>
    <row r="70" ht="15" customHeight="1" s="221">
      <c r="A70" s="313" t="n"/>
      <c r="B70" s="318" t="n"/>
      <c r="C70" s="316" t="n"/>
      <c r="D70" s="316" t="n"/>
      <c r="E70" s="317" t="n"/>
      <c r="F70" s="317" t="n"/>
      <c r="G70" s="318" t="n"/>
      <c r="H70" s="316" t="n"/>
      <c r="I70" s="301" t="n"/>
      <c r="J70" s="301" t="n"/>
    </row>
    <row r="71" ht="15" customHeight="1" s="221">
      <c r="A71" s="319" t="n"/>
      <c r="B71" s="324" t="n"/>
      <c r="C71" s="322" t="n"/>
      <c r="D71" s="322" t="n"/>
      <c r="E71" s="323" t="n"/>
      <c r="F71" s="323" t="n"/>
      <c r="G71" s="324" t="n"/>
      <c r="H71" s="322" t="n"/>
      <c r="I71" s="301" t="n"/>
      <c r="J71" s="301" t="n"/>
    </row>
    <row r="72" ht="15" customHeight="1" s="221">
      <c r="A72" s="313" t="n"/>
      <c r="B72" s="318" t="n"/>
      <c r="C72" s="316" t="n"/>
      <c r="D72" s="316" t="n"/>
      <c r="E72" s="317" t="n"/>
      <c r="F72" s="317" t="n"/>
      <c r="G72" s="318" t="n"/>
      <c r="H72" s="316" t="n"/>
      <c r="I72" s="301" t="n"/>
      <c r="J72" s="301" t="n"/>
    </row>
    <row r="73" ht="15" customHeight="1" s="221">
      <c r="A73" s="319" t="n"/>
      <c r="B73" s="324" t="n"/>
      <c r="C73" s="322" t="n"/>
      <c r="D73" s="322" t="n"/>
      <c r="E73" s="323" t="n"/>
      <c r="F73" s="323" t="n"/>
      <c r="G73" s="324" t="n"/>
      <c r="H73" s="322" t="n"/>
      <c r="I73" s="301" t="n"/>
      <c r="J73" s="301" t="n"/>
    </row>
    <row r="74" ht="15" customHeight="1" s="221">
      <c r="A74" s="313" t="n"/>
      <c r="B74" s="318" t="n"/>
      <c r="C74" s="316" t="n"/>
      <c r="D74" s="316" t="n"/>
      <c r="E74" s="317" t="n"/>
      <c r="F74" s="317" t="n"/>
      <c r="G74" s="318" t="n"/>
      <c r="H74" s="316" t="n"/>
      <c r="I74" s="301" t="n"/>
      <c r="J74" s="301" t="n"/>
    </row>
    <row r="75" ht="15" customHeight="1" s="221">
      <c r="A75" s="319" t="n"/>
      <c r="B75" s="324" t="n"/>
      <c r="C75" s="322" t="n"/>
      <c r="D75" s="322" t="n"/>
      <c r="E75" s="323" t="n"/>
      <c r="F75" s="323" t="n"/>
      <c r="G75" s="324" t="n"/>
      <c r="H75" s="322" t="n"/>
      <c r="I75" s="301" t="n"/>
      <c r="J75" s="301" t="n"/>
    </row>
    <row r="76" ht="15" customHeight="1" s="221">
      <c r="A76" s="313" t="n"/>
      <c r="B76" s="318" t="n"/>
      <c r="C76" s="316" t="n"/>
      <c r="D76" s="316" t="n"/>
      <c r="E76" s="317" t="n"/>
      <c r="F76" s="317" t="n"/>
      <c r="G76" s="318" t="n"/>
      <c r="H76" s="316" t="n"/>
      <c r="I76" s="301" t="n"/>
      <c r="J76" s="301" t="n"/>
    </row>
    <row r="77" ht="15" customHeight="1" s="221">
      <c r="A77" s="319" t="n"/>
      <c r="B77" s="324" t="n"/>
      <c r="C77" s="322" t="n"/>
      <c r="D77" s="322" t="n"/>
      <c r="E77" s="323" t="n"/>
      <c r="F77" s="323" t="n"/>
      <c r="G77" s="324" t="n"/>
      <c r="H77" s="322" t="n"/>
      <c r="I77" s="301" t="n"/>
      <c r="J77" s="301" t="n"/>
    </row>
    <row r="78" ht="15" customHeight="1" s="221">
      <c r="A78" s="313" t="n"/>
      <c r="B78" s="318" t="n"/>
      <c r="C78" s="316" t="n"/>
      <c r="D78" s="316" t="n"/>
      <c r="E78" s="317" t="n"/>
      <c r="F78" s="317" t="n"/>
      <c r="G78" s="318" t="n"/>
      <c r="H78" s="316" t="n"/>
      <c r="I78" s="301" t="n"/>
      <c r="J78" s="301" t="n"/>
    </row>
    <row r="79" ht="15" customHeight="1" s="221">
      <c r="A79" s="319" t="n"/>
      <c r="B79" s="324" t="n"/>
      <c r="C79" s="322" t="n"/>
      <c r="D79" s="322" t="n"/>
      <c r="E79" s="323" t="n"/>
      <c r="F79" s="323" t="n"/>
      <c r="G79" s="324" t="n"/>
      <c r="H79" s="322" t="n"/>
      <c r="I79" s="301" t="n"/>
      <c r="J79" s="301" t="n"/>
    </row>
    <row r="80" ht="15" customHeight="1" s="221">
      <c r="A80" s="313" t="n"/>
      <c r="B80" s="318" t="n"/>
      <c r="C80" s="316" t="n"/>
      <c r="D80" s="316" t="n"/>
      <c r="E80" s="317" t="n"/>
      <c r="F80" s="317" t="n"/>
      <c r="G80" s="318" t="n"/>
      <c r="H80" s="316" t="n"/>
      <c r="I80" s="301" t="n"/>
      <c r="J80" s="301" t="n"/>
    </row>
    <row r="81" ht="15" customHeight="1" s="221">
      <c r="A81" s="319" t="n"/>
      <c r="B81" s="324" t="n"/>
      <c r="C81" s="322" t="n"/>
      <c r="D81" s="322" t="n"/>
      <c r="E81" s="323" t="n"/>
      <c r="F81" s="323" t="n"/>
      <c r="G81" s="324" t="n"/>
      <c r="H81" s="322" t="n"/>
      <c r="I81" s="301" t="n"/>
      <c r="J81" s="301" t="n"/>
    </row>
    <row r="82" ht="15" customHeight="1" s="221">
      <c r="A82" s="313" t="n"/>
      <c r="B82" s="318" t="n"/>
      <c r="C82" s="316" t="n"/>
      <c r="D82" s="316" t="n"/>
      <c r="E82" s="317" t="n"/>
      <c r="F82" s="317" t="n"/>
      <c r="G82" s="318" t="n"/>
      <c r="H82" s="316" t="n"/>
      <c r="I82" s="301" t="n"/>
      <c r="J82" s="301" t="n"/>
    </row>
    <row r="83" ht="15" customHeight="1" s="221">
      <c r="A83" s="319" t="n"/>
      <c r="B83" s="324" t="n"/>
      <c r="C83" s="322" t="n"/>
      <c r="D83" s="322" t="n"/>
      <c r="E83" s="323" t="n"/>
      <c r="F83" s="323" t="n"/>
      <c r="G83" s="324" t="n"/>
      <c r="H83" s="322" t="n"/>
      <c r="I83" s="301" t="n"/>
      <c r="J83" s="301" t="n"/>
    </row>
    <row r="84" ht="15" customHeight="1" s="221">
      <c r="A84" s="313" t="n"/>
      <c r="B84" s="318" t="n"/>
      <c r="C84" s="316" t="n"/>
      <c r="D84" s="316" t="n"/>
      <c r="E84" s="317" t="n"/>
      <c r="F84" s="317" t="n"/>
      <c r="G84" s="318" t="n"/>
      <c r="H84" s="316" t="n"/>
      <c r="I84" s="301" t="n"/>
      <c r="J84" s="301" t="n"/>
    </row>
    <row r="85" ht="15" customHeight="1" s="221">
      <c r="A85" s="319" t="n"/>
      <c r="B85" s="324" t="n"/>
      <c r="C85" s="322" t="n"/>
      <c r="D85" s="322" t="n"/>
      <c r="E85" s="323" t="n"/>
      <c r="F85" s="323" t="n"/>
      <c r="G85" s="324" t="n"/>
      <c r="H85" s="322" t="n"/>
      <c r="I85" s="301" t="n"/>
      <c r="J85" s="301" t="n"/>
    </row>
    <row r="86" ht="15" customHeight="1" s="221">
      <c r="A86" s="313" t="n"/>
      <c r="B86" s="318" t="n"/>
      <c r="C86" s="316" t="n"/>
      <c r="D86" s="316" t="n"/>
      <c r="E86" s="317" t="n"/>
      <c r="F86" s="317" t="n"/>
      <c r="G86" s="318" t="n"/>
      <c r="H86" s="316" t="n"/>
      <c r="I86" s="301" t="n"/>
      <c r="J86" s="301" t="n"/>
    </row>
    <row r="87" ht="15" customHeight="1" s="221">
      <c r="A87" s="319" t="n"/>
      <c r="B87" s="324" t="n"/>
      <c r="C87" s="322" t="n"/>
      <c r="D87" s="322" t="n"/>
      <c r="E87" s="323" t="n"/>
      <c r="F87" s="323" t="n"/>
      <c r="G87" s="324" t="n"/>
      <c r="H87" s="322" t="n"/>
      <c r="I87" s="301" t="n"/>
      <c r="J87" s="301" t="n"/>
    </row>
    <row r="88" ht="15" customHeight="1" s="221">
      <c r="A88" s="313" t="n"/>
      <c r="B88" s="318" t="n"/>
      <c r="C88" s="316" t="n"/>
      <c r="D88" s="316" t="n"/>
      <c r="E88" s="317" t="n"/>
      <c r="F88" s="317" t="n"/>
      <c r="G88" s="318" t="n"/>
      <c r="H88" s="316" t="n"/>
      <c r="I88" s="301" t="n"/>
      <c r="J88" s="301" t="n"/>
    </row>
    <row r="89" ht="15" customHeight="1" s="221">
      <c r="A89" s="319" t="n"/>
      <c r="B89" s="324" t="n"/>
      <c r="C89" s="322" t="n"/>
      <c r="D89" s="322" t="n"/>
      <c r="E89" s="323" t="n"/>
      <c r="F89" s="323" t="n"/>
      <c r="G89" s="324" t="n"/>
      <c r="H89" s="322" t="n"/>
      <c r="I89" s="301" t="n"/>
      <c r="J89" s="301" t="n"/>
    </row>
    <row r="90" ht="15" customHeight="1" s="221">
      <c r="A90" s="313" t="n"/>
      <c r="B90" s="318" t="n"/>
      <c r="C90" s="316" t="n"/>
      <c r="D90" s="316" t="n"/>
      <c r="E90" s="317" t="n"/>
      <c r="F90" s="317" t="n"/>
      <c r="G90" s="318" t="n"/>
      <c r="H90" s="316" t="n"/>
      <c r="I90" s="301" t="n"/>
      <c r="J90" s="301" t="n"/>
    </row>
    <row r="91" ht="15" customHeight="1" s="221">
      <c r="A91" s="319" t="n"/>
      <c r="B91" s="324" t="n"/>
      <c r="C91" s="322" t="n"/>
      <c r="D91" s="322" t="n"/>
      <c r="E91" s="323" t="n"/>
      <c r="F91" s="323" t="n"/>
      <c r="G91" s="324" t="n"/>
      <c r="H91" s="322" t="n"/>
      <c r="I91" s="301" t="n"/>
      <c r="J91" s="301" t="n"/>
    </row>
    <row r="92" ht="15" customHeight="1" s="221">
      <c r="A92" s="313" t="n"/>
      <c r="B92" s="318" t="n"/>
      <c r="C92" s="316" t="n"/>
      <c r="D92" s="316" t="n"/>
      <c r="E92" s="317" t="n"/>
      <c r="F92" s="317" t="n"/>
      <c r="G92" s="318" t="n"/>
      <c r="H92" s="316" t="n"/>
      <c r="I92" s="301" t="n"/>
      <c r="J92" s="301" t="n"/>
    </row>
    <row r="93" ht="15" customHeight="1" s="221">
      <c r="A93" s="319" t="n"/>
      <c r="B93" s="324" t="n"/>
      <c r="C93" s="322" t="n"/>
      <c r="D93" s="322" t="n"/>
      <c r="E93" s="323" t="n"/>
      <c r="F93" s="323" t="n"/>
      <c r="G93" s="324" t="n"/>
      <c r="H93" s="322" t="n"/>
      <c r="I93" s="301" t="n"/>
      <c r="J93" s="301" t="n"/>
    </row>
    <row r="94" ht="15" customHeight="1" s="221">
      <c r="A94" s="313" t="n"/>
      <c r="B94" s="318" t="n"/>
      <c r="C94" s="316" t="n"/>
      <c r="D94" s="316" t="n"/>
      <c r="E94" s="317" t="n"/>
      <c r="F94" s="317" t="n"/>
      <c r="G94" s="318" t="n"/>
      <c r="H94" s="316" t="n"/>
      <c r="I94" s="301" t="n"/>
      <c r="J94" s="301" t="n"/>
    </row>
    <row r="95" ht="15" customHeight="1" s="221">
      <c r="A95" s="319" t="n"/>
      <c r="B95" s="324" t="n"/>
      <c r="C95" s="322" t="n"/>
      <c r="D95" s="322" t="n"/>
      <c r="E95" s="323" t="n"/>
      <c r="F95" s="323" t="n"/>
      <c r="G95" s="324" t="n"/>
      <c r="H95" s="322" t="n"/>
      <c r="I95" s="301" t="n"/>
      <c r="J95" s="301" t="n"/>
    </row>
    <row r="96" ht="15" customHeight="1" s="221">
      <c r="A96" s="313" t="n"/>
      <c r="B96" s="318" t="n"/>
      <c r="C96" s="316" t="n"/>
      <c r="D96" s="316" t="n"/>
      <c r="E96" s="317" t="n"/>
      <c r="F96" s="317" t="n"/>
      <c r="G96" s="318" t="n"/>
      <c r="H96" s="316" t="n"/>
      <c r="I96" s="301" t="n"/>
      <c r="J96" s="301" t="n"/>
    </row>
    <row r="97" ht="15" customHeight="1" s="221">
      <c r="A97" s="319" t="n"/>
      <c r="B97" s="324" t="n"/>
      <c r="C97" s="322" t="n"/>
      <c r="D97" s="322" t="n"/>
      <c r="E97" s="323" t="n"/>
      <c r="F97" s="323" t="n"/>
      <c r="G97" s="324" t="n"/>
      <c r="H97" s="322" t="n"/>
      <c r="I97" s="301" t="n"/>
      <c r="J97" s="301" t="n"/>
    </row>
    <row r="98" ht="15" customHeight="1" s="221">
      <c r="A98" s="313" t="n"/>
      <c r="B98" s="318" t="n"/>
      <c r="C98" s="316" t="n"/>
      <c r="D98" s="316" t="n"/>
      <c r="E98" s="317" t="n"/>
      <c r="F98" s="317" t="n"/>
      <c r="G98" s="318" t="n"/>
      <c r="H98" s="316" t="n"/>
      <c r="I98" s="301" t="n"/>
      <c r="J98" s="301" t="n"/>
    </row>
    <row r="99" ht="15" customHeight="1" s="221">
      <c r="A99" s="319" t="n"/>
      <c r="B99" s="324" t="n"/>
      <c r="C99" s="322" t="n"/>
      <c r="D99" s="322" t="n"/>
      <c r="E99" s="323" t="n"/>
      <c r="F99" s="323" t="n"/>
      <c r="G99" s="324" t="n"/>
      <c r="H99" s="322" t="n"/>
      <c r="I99" s="301" t="n"/>
      <c r="J99" s="301" t="n"/>
    </row>
    <row r="100" ht="15" customHeight="1" s="221">
      <c r="A100" s="313" t="n"/>
      <c r="B100" s="318" t="n"/>
      <c r="C100" s="316" t="n"/>
      <c r="D100" s="316" t="n"/>
      <c r="E100" s="317" t="n"/>
      <c r="F100" s="317" t="n"/>
      <c r="G100" s="318" t="n"/>
      <c r="H100" s="316" t="n"/>
      <c r="I100" s="301" t="n"/>
      <c r="J100" s="301" t="n"/>
    </row>
    <row r="101" ht="15" customHeight="1" s="221">
      <c r="A101" s="319" t="n"/>
      <c r="B101" s="324" t="n"/>
      <c r="C101" s="322" t="n"/>
      <c r="D101" s="322" t="n"/>
      <c r="E101" s="323" t="n"/>
      <c r="F101" s="323" t="n"/>
      <c r="G101" s="324" t="n"/>
      <c r="H101" s="322" t="n"/>
      <c r="I101" s="301" t="n"/>
      <c r="J101" s="301" t="n"/>
    </row>
    <row r="102" ht="15" customHeight="1" s="221">
      <c r="A102" s="313" t="n"/>
      <c r="B102" s="318" t="n"/>
      <c r="C102" s="316" t="n"/>
      <c r="D102" s="316" t="n"/>
      <c r="E102" s="317" t="n"/>
      <c r="F102" s="317" t="n"/>
      <c r="G102" s="318" t="n"/>
      <c r="H102" s="316" t="n"/>
      <c r="I102" s="301" t="n"/>
      <c r="J102" s="301" t="n"/>
    </row>
    <row r="103" ht="15" customHeight="1" s="221">
      <c r="A103" s="319" t="n"/>
      <c r="B103" s="324" t="n"/>
      <c r="C103" s="322" t="n"/>
      <c r="D103" s="322" t="n"/>
      <c r="E103" s="323" t="n"/>
      <c r="F103" s="323" t="n"/>
      <c r="G103" s="324" t="n"/>
      <c r="H103" s="322" t="n"/>
      <c r="I103" s="301" t="n"/>
      <c r="J103" s="301" t="n"/>
    </row>
    <row r="104" ht="15" customHeight="1" s="221">
      <c r="A104" s="325" t="inlineStr">
        <is>
          <t>TOTALES</t>
        </is>
      </c>
      <c r="E104" s="326">
        <f>SUM(E4:E103)</f>
        <v/>
      </c>
      <c r="F104" s="327">
        <f>SUM(F4:F103)</f>
        <v/>
      </c>
      <c r="G104" s="301" t="n"/>
      <c r="H104" s="301" t="n"/>
      <c r="I104" s="301" t="n"/>
      <c r="J104" s="301" t="n"/>
    </row>
    <row r="105" ht="18" customHeight="1" s="221">
      <c r="A105" s="301" t="n"/>
      <c r="B105" s="301" t="n"/>
      <c r="C105" s="301" t="n"/>
      <c r="D105" s="301" t="n"/>
      <c r="E105" s="328" t="n"/>
      <c r="F105" s="301" t="n"/>
      <c r="G105" s="301" t="n"/>
      <c r="H105" s="301" t="n"/>
      <c r="I105" s="301" t="n"/>
      <c r="J105" s="301" t="n"/>
    </row>
    <row r="106" ht="15" customHeight="1" s="221">
      <c r="A106" s="310" t="inlineStr">
        <is>
          <t>📊 RESUMEN DEL MES</t>
        </is>
      </c>
      <c r="D106" s="301" t="n"/>
      <c r="E106" s="328" t="n"/>
      <c r="F106" s="301" t="n"/>
      <c r="G106" s="301" t="n"/>
      <c r="H106" s="301" t="n"/>
      <c r="I106" s="301" t="n"/>
      <c r="J106" s="301" t="n"/>
    </row>
    <row r="107" ht="15" customHeight="1" s="221">
      <c r="A107" s="223" t="inlineStr">
        <is>
          <t>INGRESOS:</t>
        </is>
      </c>
      <c r="B107" s="301" t="n"/>
      <c r="C107" s="328">
        <f>SUMIF(B4:B103,"Ingreso NT",E4:E103)</f>
        <v/>
      </c>
      <c r="D107" s="301" t="n"/>
      <c r="E107" s="328" t="n"/>
      <c r="F107" s="301" t="n"/>
      <c r="G107" s="301" t="n"/>
      <c r="H107" s="301" t="n"/>
      <c r="I107" s="301" t="n"/>
      <c r="J107" s="301" t="n"/>
    </row>
    <row r="108" ht="15" customHeight="1" s="221">
      <c r="A108" s="301" t="inlineStr">
        <is>
          <t xml:space="preserve">  Ingreso NT:</t>
        </is>
      </c>
      <c r="B108" s="301" t="n"/>
      <c r="C108" s="329">
        <f>SUMIF(B4:B103,"Ingreso NT",E4:E103)</f>
        <v/>
      </c>
      <c r="D108" s="301" t="n"/>
      <c r="E108" s="328" t="n"/>
      <c r="F108" s="301" t="n"/>
      <c r="G108" s="301" t="n"/>
      <c r="H108" s="301" t="n"/>
      <c r="I108" s="301" t="n"/>
      <c r="J108" s="301" t="n"/>
    </row>
    <row r="109" ht="15" customHeight="1" s="221">
      <c r="A109" s="301" t="inlineStr">
        <is>
          <t xml:space="preserve">  Ingreso Marco:</t>
        </is>
      </c>
      <c r="B109" s="301" t="n"/>
      <c r="C109" s="330">
        <f>SUMIF(B4:B103,"Ingreso Marco",E4:E103)</f>
        <v/>
      </c>
      <c r="D109" s="301" t="n"/>
      <c r="E109" s="328" t="n"/>
      <c r="F109" s="301" t="n"/>
      <c r="G109" s="301" t="n"/>
      <c r="H109" s="301" t="n"/>
      <c r="I109" s="301" t="n"/>
      <c r="J109" s="301" t="n"/>
    </row>
    <row r="110" ht="15" customHeight="1" s="221">
      <c r="A110" s="301" t="inlineStr">
        <is>
          <t xml:space="preserve">  Ingreso Clara:</t>
        </is>
      </c>
      <c r="B110" s="301" t="n"/>
      <c r="C110" s="331">
        <f>SUMIF(B4:B103,"Ingreso Clara",E4:E103)</f>
        <v/>
      </c>
      <c r="D110" s="301" t="n"/>
      <c r="E110" s="328" t="n"/>
      <c r="F110" s="301" t="n"/>
      <c r="G110" s="301" t="n"/>
      <c r="H110" s="301" t="n"/>
      <c r="I110" s="301" t="n"/>
      <c r="J110" s="301" t="n"/>
    </row>
    <row r="111" ht="15" customHeight="1" s="221">
      <c r="A111" s="301" t="inlineStr">
        <is>
          <t xml:space="preserve">  Devolución Fam → NT:</t>
        </is>
      </c>
      <c r="B111" s="301" t="n"/>
      <c r="C111" s="332">
        <f>SUMIF(B4:B103,"Devolución Familia → NT",E4:E103)</f>
        <v/>
      </c>
      <c r="D111" s="301" t="n"/>
      <c r="E111" s="328" t="n"/>
      <c r="F111" s="301" t="n"/>
      <c r="G111" s="301" t="n"/>
      <c r="H111" s="301" t="n"/>
      <c r="I111" s="301" t="n"/>
      <c r="J111" s="301" t="n"/>
    </row>
    <row r="112" ht="15" customHeight="1" s="221">
      <c r="A112" s="223" t="inlineStr">
        <is>
          <t xml:space="preserve">  TOTAL INGRESOS:</t>
        </is>
      </c>
      <c r="B112" s="301" t="n"/>
      <c r="C112" s="333">
        <f>SUM(C108:C111)</f>
        <v/>
      </c>
      <c r="D112" s="301" t="n"/>
      <c r="E112" s="328" t="n"/>
      <c r="F112" s="301" t="n"/>
      <c r="G112" s="301" t="n"/>
      <c r="H112" s="301" t="n"/>
      <c r="I112" s="301" t="n"/>
      <c r="J112" s="301" t="n"/>
    </row>
    <row r="113" ht="15" customHeight="1" s="221">
      <c r="A113" s="301" t="inlineStr">
        <is>
          <t>EGRESOS:</t>
        </is>
      </c>
      <c r="B113" s="301" t="n"/>
      <c r="C113" s="301" t="n"/>
      <c r="D113" s="301" t="n"/>
      <c r="E113" s="328" t="n"/>
      <c r="F113" s="301" t="n"/>
      <c r="G113" s="301" t="n"/>
      <c r="H113" s="301" t="n"/>
      <c r="I113" s="301" t="n"/>
      <c r="J113" s="301" t="n"/>
    </row>
    <row r="114" ht="15" customHeight="1" s="221">
      <c r="A114" s="223" t="inlineStr">
        <is>
          <t>EGRESOS:</t>
        </is>
      </c>
      <c r="B114" s="301" t="n"/>
      <c r="C114" s="328">
        <f>SUMIF(B4:B103,"Egreso NT",F4:F103)</f>
        <v/>
      </c>
      <c r="D114" s="301" t="n"/>
      <c r="E114" s="328" t="n"/>
      <c r="F114" s="301" t="n"/>
      <c r="G114" s="301" t="n"/>
      <c r="H114" s="301" t="n"/>
      <c r="I114" s="301" t="n"/>
      <c r="J114" s="301" t="n"/>
    </row>
    <row r="115" ht="15" customHeight="1" s="221">
      <c r="A115" s="301" t="inlineStr">
        <is>
          <t xml:space="preserve">  Egreso NT:</t>
        </is>
      </c>
      <c r="B115" s="301" t="n"/>
      <c r="C115" s="334">
        <f>SUMIF(B4:B103,"Egreso NT",F4:F103)</f>
        <v/>
      </c>
      <c r="D115" s="301" t="n"/>
      <c r="E115" s="328" t="n"/>
      <c r="F115" s="301" t="n"/>
      <c r="G115" s="301" t="n"/>
      <c r="H115" s="301" t="n"/>
      <c r="I115" s="301" t="n"/>
      <c r="J115" s="301" t="n"/>
    </row>
    <row r="116" ht="15" customHeight="1" s="221">
      <c r="A116" s="301" t="inlineStr">
        <is>
          <t xml:space="preserve">  Egreso Familiar:</t>
        </is>
      </c>
      <c r="B116" s="301" t="n"/>
      <c r="C116" s="335">
        <f>SUMIF(B4:B103,"Egreso Familiar",F4:F103)</f>
        <v/>
      </c>
      <c r="D116" s="301" t="n"/>
      <c r="E116" s="328" t="n"/>
      <c r="F116" s="301" t="n"/>
      <c r="G116" s="301" t="n"/>
      <c r="H116" s="301" t="n"/>
      <c r="I116" s="301" t="n"/>
      <c r="J116" s="301" t="n"/>
    </row>
    <row r="117" ht="15" customHeight="1" s="221">
      <c r="A117" s="301" t="inlineStr">
        <is>
          <t xml:space="preserve">  Préstamo NT → Fam:</t>
        </is>
      </c>
      <c r="B117" s="301" t="n"/>
      <c r="C117" s="336">
        <f>SUMIF(B4:B103,"Préstamo NT → Familia",F4:F103)</f>
        <v/>
      </c>
      <c r="D117" s="301" t="n"/>
      <c r="E117" s="328" t="n"/>
      <c r="F117" s="301" t="n"/>
      <c r="G117" s="301" t="n"/>
      <c r="H117" s="301" t="n"/>
      <c r="I117" s="301" t="n"/>
      <c r="J117" s="301" t="n"/>
    </row>
    <row r="118" ht="15" customHeight="1" s="221">
      <c r="A118" s="223" t="inlineStr">
        <is>
          <t xml:space="preserve">  TOTAL EGRESOS:</t>
        </is>
      </c>
      <c r="B118" s="301" t="n"/>
      <c r="C118" s="337">
        <f>SUM(C115:C117)</f>
        <v/>
      </c>
      <c r="D118" s="301" t="n"/>
      <c r="E118" s="328" t="n"/>
      <c r="F118" s="301" t="n"/>
      <c r="G118" s="301" t="n"/>
      <c r="H118" s="301" t="n"/>
      <c r="I118" s="301" t="n"/>
      <c r="J118" s="301" t="n"/>
    </row>
    <row r="119" ht="15" customHeight="1" s="221">
      <c r="A119" s="301" t="n"/>
      <c r="B119" s="301" t="n"/>
      <c r="C119" s="301" t="n"/>
      <c r="D119" s="301" t="n"/>
      <c r="E119" s="328" t="n"/>
      <c r="F119" s="301" t="n"/>
      <c r="G119" s="301" t="n"/>
      <c r="H119" s="301" t="n"/>
      <c r="I119" s="301" t="n"/>
      <c r="J119" s="301" t="n"/>
    </row>
    <row r="120" ht="15" customHeight="1" s="221">
      <c r="A120" s="223" t="inlineStr">
        <is>
          <t>SALDO PRÉSTAMO NT → FAM:</t>
        </is>
      </c>
      <c r="B120" s="301" t="n"/>
      <c r="C120" s="338">
        <f>C117-C111</f>
        <v/>
      </c>
      <c r="D120" s="301" t="n"/>
      <c r="E120" s="328" t="n"/>
      <c r="F120" s="301" t="n"/>
      <c r="G120" s="301" t="n"/>
      <c r="H120" s="301" t="n"/>
      <c r="I120" s="301" t="n"/>
      <c r="J120" s="301" t="n"/>
    </row>
    <row r="121" ht="15" customHeight="1" s="221">
      <c r="A121" s="339" t="inlineStr">
        <is>
          <t>(Prestado - Devuelto)</t>
        </is>
      </c>
      <c r="B121" s="301" t="n"/>
      <c r="C121" s="301" t="n"/>
      <c r="D121" s="301" t="n"/>
      <c r="E121" s="328" t="n"/>
      <c r="F121" s="301" t="n"/>
      <c r="G121" s="301" t="n"/>
      <c r="H121" s="301" t="n"/>
      <c r="I121" s="301" t="n"/>
      <c r="J121" s="301" t="n"/>
    </row>
    <row r="122" ht="15" customHeight="1" s="221">
      <c r="A122" s="301" t="n"/>
      <c r="B122" s="301" t="n"/>
      <c r="C122" s="301" t="n"/>
      <c r="D122" s="301" t="n"/>
      <c r="E122" s="328" t="n"/>
      <c r="F122" s="301" t="n"/>
      <c r="G122" s="301" t="n"/>
      <c r="H122" s="301" t="n"/>
      <c r="I122" s="301" t="n"/>
      <c r="J122" s="301" t="n"/>
    </row>
    <row r="123" ht="15" customHeight="1" s="221">
      <c r="A123" s="301" t="n"/>
      <c r="B123" s="301" t="n"/>
      <c r="C123" s="301" t="n"/>
      <c r="D123" s="301" t="n"/>
      <c r="E123" s="328" t="n"/>
      <c r="F123" s="301" t="n"/>
      <c r="G123" s="301" t="n"/>
      <c r="H123" s="301" t="n"/>
      <c r="I123" s="301" t="n"/>
      <c r="J123" s="301" t="n"/>
    </row>
    <row r="124" ht="15" customHeight="1" s="221">
      <c r="A124" s="301" t="n"/>
      <c r="B124" s="301" t="n"/>
      <c r="C124" s="301" t="n"/>
      <c r="D124" s="301" t="n"/>
      <c r="E124" s="328" t="n"/>
      <c r="F124" s="301" t="n"/>
      <c r="G124" s="301" t="n"/>
      <c r="H124" s="301" t="n"/>
      <c r="I124" s="301" t="n"/>
      <c r="J124" s="301" t="n"/>
    </row>
    <row r="125" ht="15" customHeight="1" s="221">
      <c r="A125" s="301" t="n"/>
      <c r="B125" s="301" t="n"/>
      <c r="C125" s="301" t="n"/>
      <c r="D125" s="301" t="n"/>
      <c r="E125" s="328" t="n"/>
      <c r="F125" s="301" t="n"/>
      <c r="G125" s="301" t="n"/>
      <c r="H125" s="301" t="n"/>
      <c r="I125" s="301" t="n"/>
      <c r="J125" s="301" t="n"/>
    </row>
    <row r="126" ht="15" customHeight="1" s="221">
      <c r="A126" s="301" t="n"/>
      <c r="B126" s="301" t="n"/>
      <c r="C126" s="301" t="n"/>
      <c r="D126" s="301" t="n"/>
      <c r="E126" s="328" t="n"/>
      <c r="F126" s="301" t="n"/>
      <c r="G126" s="301" t="n"/>
      <c r="H126" s="301" t="n"/>
      <c r="I126" s="301" t="n"/>
      <c r="J126" s="301" t="n"/>
    </row>
    <row r="127" ht="15" customHeight="1" s="221">
      <c r="A127" s="301" t="n"/>
      <c r="B127" s="301" t="n"/>
      <c r="C127" s="301" t="n"/>
      <c r="D127" s="301" t="n"/>
      <c r="E127" s="328" t="n"/>
      <c r="F127" s="301" t="n"/>
      <c r="G127" s="301" t="n"/>
      <c r="H127" s="301" t="n"/>
      <c r="I127" s="301" t="n"/>
      <c r="J127" s="301" t="n"/>
    </row>
    <row r="128" ht="15" customHeight="1" s="221">
      <c r="A128" s="301" t="n"/>
      <c r="B128" s="301" t="n"/>
      <c r="C128" s="301" t="n"/>
      <c r="D128" s="301" t="n"/>
      <c r="E128" s="328" t="n"/>
      <c r="F128" s="301" t="n"/>
      <c r="G128" s="301" t="n"/>
      <c r="H128" s="301" t="n"/>
      <c r="I128" s="301" t="n"/>
      <c r="J128" s="301" t="n"/>
    </row>
    <row r="129" ht="15" customHeight="1" s="221">
      <c r="A129" s="301" t="n"/>
      <c r="B129" s="301" t="n"/>
      <c r="C129" s="301" t="n"/>
      <c r="D129" s="301" t="n"/>
      <c r="E129" s="328" t="n"/>
      <c r="F129" s="301" t="n"/>
      <c r="G129" s="301" t="n"/>
      <c r="H129" s="301" t="n"/>
      <c r="I129" s="301" t="n"/>
      <c r="J129" s="301" t="n"/>
    </row>
    <row r="130" ht="15" customHeight="1" s="221">
      <c r="A130" s="301" t="n"/>
      <c r="B130" s="301" t="n"/>
      <c r="C130" s="301" t="n"/>
      <c r="D130" s="301" t="n"/>
      <c r="E130" s="328" t="n"/>
      <c r="F130" s="301" t="n"/>
      <c r="G130" s="301" t="n"/>
      <c r="H130" s="301" t="n"/>
      <c r="I130" s="301" t="n"/>
      <c r="J130" s="301" t="n"/>
    </row>
    <row r="131" ht="15" customHeight="1" s="221">
      <c r="A131" s="301" t="n"/>
      <c r="B131" s="301" t="n"/>
      <c r="C131" s="301" t="n"/>
      <c r="D131" s="301" t="n"/>
      <c r="E131" s="328" t="n"/>
      <c r="F131" s="301" t="n"/>
      <c r="G131" s="301" t="n"/>
      <c r="H131" s="301" t="n"/>
      <c r="I131" s="301" t="n"/>
      <c r="J131" s="301" t="n"/>
    </row>
    <row r="132" ht="15" customHeight="1" s="221">
      <c r="A132" s="301" t="n"/>
      <c r="B132" s="301" t="n"/>
      <c r="C132" s="301" t="n"/>
      <c r="D132" s="301" t="n"/>
      <c r="E132" s="328" t="n"/>
      <c r="F132" s="301" t="n"/>
      <c r="G132" s="301" t="n"/>
      <c r="H132" s="301" t="n"/>
      <c r="I132" s="301" t="n"/>
      <c r="J132" s="301" t="n"/>
    </row>
    <row r="133" ht="15" customHeight="1" s="221">
      <c r="A133" s="301" t="n"/>
      <c r="B133" s="301" t="n"/>
      <c r="C133" s="301" t="n"/>
      <c r="D133" s="301" t="n"/>
      <c r="E133" s="328" t="n"/>
      <c r="F133" s="301" t="n"/>
      <c r="G133" s="301" t="n"/>
      <c r="H133" s="301" t="n"/>
      <c r="I133" s="301" t="n"/>
      <c r="J133" s="301" t="n"/>
    </row>
    <row r="134" ht="15" customHeight="1" s="221">
      <c r="A134" s="301" t="n"/>
      <c r="B134" s="301" t="n"/>
      <c r="C134" s="301" t="n"/>
      <c r="D134" s="301" t="n"/>
      <c r="E134" s="328" t="n"/>
      <c r="F134" s="301" t="n"/>
      <c r="G134" s="301" t="n"/>
      <c r="H134" s="301" t="n"/>
      <c r="I134" s="301" t="n"/>
      <c r="J134" s="301" t="n"/>
    </row>
    <row r="135" ht="15" customHeight="1" s="221">
      <c r="A135" s="301" t="n"/>
      <c r="B135" s="301" t="n"/>
      <c r="C135" s="301" t="n"/>
      <c r="D135" s="301" t="n"/>
      <c r="E135" s="328" t="n"/>
      <c r="F135" s="301" t="n"/>
      <c r="G135" s="301" t="n"/>
      <c r="H135" s="301" t="n"/>
      <c r="I135" s="301" t="n"/>
      <c r="J135" s="301" t="n"/>
    </row>
    <row r="136" ht="15" customHeight="1" s="221">
      <c r="A136" s="301" t="n"/>
      <c r="B136" s="301" t="n"/>
      <c r="C136" s="301" t="n"/>
      <c r="D136" s="301" t="n"/>
      <c r="E136" s="328" t="n"/>
      <c r="F136" s="301" t="n"/>
      <c r="G136" s="301" t="n"/>
      <c r="H136" s="301" t="n"/>
      <c r="I136" s="301" t="n"/>
      <c r="J136" s="301" t="n"/>
    </row>
    <row r="137" ht="15" customHeight="1" s="221">
      <c r="A137" s="301" t="n"/>
      <c r="B137" s="301" t="n"/>
      <c r="C137" s="301" t="n"/>
      <c r="D137" s="301" t="n"/>
      <c r="E137" s="328" t="n"/>
      <c r="F137" s="301" t="n"/>
      <c r="G137" s="301" t="n"/>
      <c r="H137" s="301" t="n"/>
      <c r="I137" s="301" t="n"/>
      <c r="J137" s="301" t="n"/>
    </row>
    <row r="138" ht="15" customHeight="1" s="221">
      <c r="A138" s="301" t="n"/>
      <c r="B138" s="301" t="n"/>
      <c r="C138" s="301" t="n"/>
      <c r="D138" s="301" t="n"/>
      <c r="E138" s="328" t="n"/>
      <c r="F138" s="301" t="n"/>
      <c r="G138" s="301" t="n"/>
      <c r="H138" s="301" t="n"/>
      <c r="I138" s="301" t="n"/>
      <c r="J138" s="301" t="n"/>
    </row>
    <row r="139" ht="15" customHeight="1" s="221">
      <c r="A139" s="301" t="n"/>
      <c r="B139" s="301" t="n"/>
      <c r="C139" s="301" t="n"/>
      <c r="D139" s="301" t="n"/>
      <c r="E139" s="301" t="n"/>
      <c r="F139" s="301" t="n"/>
      <c r="G139" s="301" t="n"/>
      <c r="H139" s="301" t="n"/>
      <c r="I139" s="301" t="n"/>
      <c r="J139" s="301" t="n"/>
    </row>
    <row r="140" ht="15" customHeight="1" s="221">
      <c r="A140" s="301" t="n"/>
      <c r="B140" s="301" t="n"/>
      <c r="C140" s="301" t="n"/>
      <c r="D140" s="301" t="n"/>
      <c r="E140" s="301" t="n"/>
      <c r="F140" s="301" t="n"/>
      <c r="G140" s="301" t="n"/>
      <c r="H140" s="301" t="n"/>
      <c r="I140" s="301" t="n"/>
      <c r="J140" s="301" t="n"/>
    </row>
    <row r="141" ht="15" customHeight="1" s="221">
      <c r="A141" s="301" t="n"/>
      <c r="B141" s="301" t="n"/>
      <c r="C141" s="301" t="n"/>
      <c r="D141" s="301" t="n"/>
      <c r="E141" s="301" t="n"/>
      <c r="F141" s="301" t="n"/>
      <c r="G141" s="301" t="n"/>
      <c r="H141" s="301" t="n"/>
      <c r="I141" s="301" t="n"/>
      <c r="J141" s="301" t="n"/>
    </row>
    <row r="142" ht="15" customHeight="1" s="221">
      <c r="A142" s="301" t="n"/>
      <c r="B142" s="301" t="n"/>
      <c r="C142" s="301" t="n"/>
      <c r="D142" s="301" t="n"/>
      <c r="E142" s="301" t="n"/>
      <c r="F142" s="301" t="n"/>
      <c r="G142" s="301" t="n"/>
      <c r="H142" s="301" t="n"/>
      <c r="I142" s="301" t="n"/>
      <c r="J142" s="301" t="n"/>
    </row>
    <row r="143" ht="15" customHeight="1" s="221">
      <c r="A143" s="301" t="n"/>
      <c r="B143" s="301" t="n"/>
      <c r="C143" s="301" t="n"/>
      <c r="D143" s="301" t="n"/>
      <c r="E143" s="301" t="n"/>
      <c r="F143" s="301" t="n"/>
      <c r="G143" s="301" t="n"/>
      <c r="H143" s="301" t="n"/>
      <c r="I143" s="301" t="n"/>
      <c r="J143" s="301" t="n"/>
    </row>
    <row r="144" ht="15" customHeight="1" s="221">
      <c r="A144" s="301" t="n"/>
      <c r="B144" s="301" t="n"/>
      <c r="C144" s="301" t="n"/>
      <c r="D144" s="301" t="n"/>
      <c r="E144" s="301" t="n"/>
      <c r="F144" s="301" t="n"/>
      <c r="G144" s="301" t="n"/>
      <c r="H144" s="301" t="n"/>
      <c r="I144" s="301" t="n"/>
      <c r="J144" s="301" t="n"/>
    </row>
    <row r="145" ht="15" customHeight="1" s="221">
      <c r="A145" s="301" t="n"/>
      <c r="B145" s="301" t="n"/>
      <c r="C145" s="301" t="n"/>
      <c r="D145" s="301" t="n"/>
      <c r="E145" s="301" t="n"/>
      <c r="F145" s="301" t="n"/>
      <c r="G145" s="301" t="n"/>
      <c r="H145" s="301" t="n"/>
      <c r="I145" s="301" t="n"/>
      <c r="J145" s="301" t="n"/>
    </row>
    <row r="146" ht="15" customHeight="1" s="221">
      <c r="A146" s="301" t="n"/>
      <c r="B146" s="301" t="n"/>
      <c r="C146" s="301" t="n"/>
      <c r="D146" s="301" t="n"/>
      <c r="E146" s="301" t="n"/>
      <c r="F146" s="301" t="n"/>
      <c r="G146" s="301" t="n"/>
      <c r="H146" s="301" t="n"/>
      <c r="I146" s="301" t="n"/>
      <c r="J146" s="301" t="n"/>
    </row>
    <row r="147" ht="15" customHeight="1" s="221">
      <c r="A147" s="301" t="n"/>
      <c r="B147" s="301" t="n"/>
      <c r="C147" s="301" t="n"/>
      <c r="D147" s="301" t="n"/>
      <c r="E147" s="301" t="n"/>
      <c r="F147" s="301" t="n"/>
      <c r="G147" s="301" t="n"/>
      <c r="H147" s="301" t="n"/>
      <c r="I147" s="301" t="n"/>
      <c r="J147" s="301" t="n"/>
    </row>
    <row r="148" ht="15" customHeight="1" s="221">
      <c r="A148" s="301" t="n"/>
      <c r="B148" s="301" t="n"/>
      <c r="C148" s="301" t="n"/>
      <c r="D148" s="301" t="n"/>
      <c r="E148" s="301" t="n"/>
      <c r="F148" s="301" t="n"/>
      <c r="G148" s="301" t="n"/>
      <c r="H148" s="301" t="n"/>
      <c r="I148" s="301" t="n"/>
      <c r="J148" s="301" t="n"/>
    </row>
    <row r="149" ht="15" customHeight="1" s="221">
      <c r="A149" s="301" t="n"/>
      <c r="B149" s="301" t="n"/>
      <c r="C149" s="301" t="n"/>
      <c r="D149" s="301" t="n"/>
      <c r="E149" s="301" t="n"/>
      <c r="F149" s="301" t="n"/>
      <c r="G149" s="301" t="n"/>
      <c r="H149" s="301" t="n"/>
      <c r="I149" s="301" t="n"/>
      <c r="J149" s="301" t="n"/>
    </row>
    <row r="150" ht="15" customHeight="1" s="221">
      <c r="A150" s="301" t="n"/>
      <c r="B150" s="301" t="n"/>
      <c r="C150" s="301" t="n"/>
      <c r="D150" s="301" t="n"/>
      <c r="E150" s="301" t="n"/>
      <c r="F150" s="301" t="n"/>
      <c r="G150" s="301" t="n"/>
      <c r="H150" s="301" t="n"/>
      <c r="I150" s="301" t="n"/>
      <c r="J150" s="301" t="n"/>
    </row>
  </sheetData>
  <mergeCells count="3">
    <mergeCell ref="A104:D104"/>
    <mergeCell ref="A106:C106"/>
    <mergeCell ref="A1:H1"/>
  </mergeCells>
  <dataValidations count="2">
    <dataValidation sqref="B4:B103" showDropDown="0" showInputMessage="0" showErrorMessage="0" allowBlank="1" type="list" errorStyle="stop" operator="between">
      <formula1>"Familiar,NeuroTEA"</formula1>
      <formula2>0</formula2>
    </dataValidation>
    <dataValidation sqref="C4:C103" showDropDown="0" showInputMessage="0" showErrorMessage="0" allowBlank="1" type="list" errorStyle="stop" operator="between">
      <formula1>"Combustible,Supermercado,Farmacia,Recreación,Gastos Varios,Reserva Fam 1,Reserva Fam 2,Reserva Fam 3,Insumos NT,Papelería NT,Mantenimiento NT,Festejos NT,Gastos Cursos NT,Gastos Varios NT,Reserva NT 1,Reserva NT 2,Reserva NT 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E67E22"/>
    <outlinePr summaryBelow="1" summaryRight="1"/>
    <pageSetUpPr fitToPage="0"/>
  </sheetPr>
  <dimension ref="A1:L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24" customWidth="1" style="220" min="1" max="1"/>
    <col width="12" customWidth="1" style="220" min="2" max="2"/>
    <col width="14" customWidth="1" style="220" min="3" max="4"/>
    <col width="2" customWidth="1" style="220" min="5" max="6"/>
    <col width="24" customWidth="1" style="220" min="7" max="7"/>
    <col width="12" customWidth="1" style="220" min="8" max="8"/>
    <col width="14" customWidth="1" style="220" min="9" max="10"/>
  </cols>
  <sheetData>
    <row r="1" ht="34.5" customHeight="1" s="221">
      <c r="A1" s="340" t="inlineStr">
        <is>
          <t>📊 CONTROL FINANCIERO - MARZO 2026</t>
        </is>
      </c>
      <c r="K1" s="301" t="n"/>
      <c r="L1" s="301" t="n"/>
    </row>
    <row r="2" ht="15" customHeight="1" s="221">
      <c r="A2" s="301" t="n"/>
      <c r="B2" s="301" t="n"/>
      <c r="C2" s="301" t="n"/>
      <c r="D2" s="301" t="n"/>
      <c r="E2" s="301" t="n"/>
      <c r="F2" s="301" t="n"/>
      <c r="G2" s="301" t="n"/>
      <c r="H2" s="301" t="n"/>
      <c r="I2" s="301" t="n"/>
      <c r="J2" s="301" t="n"/>
      <c r="K2" s="301" t="n"/>
      <c r="L2" s="301" t="n"/>
    </row>
    <row r="3" ht="15" customHeight="1" s="221">
      <c r="A3" s="341" t="inlineStr">
        <is>
          <t>TOTAL INGRESOS</t>
        </is>
      </c>
      <c r="C3" s="301" t="n"/>
      <c r="D3" s="342" t="inlineStr">
        <is>
          <t>GASTOS PAGADOS</t>
        </is>
      </c>
      <c r="F3" s="301" t="n"/>
      <c r="G3" s="343" t="inlineStr">
        <is>
          <t>GASTOS PENDIENTES</t>
        </is>
      </c>
      <c r="I3" s="301" t="n"/>
      <c r="J3" s="344" t="inlineStr">
        <is>
          <t>BALANCE</t>
        </is>
      </c>
      <c r="K3" s="301" t="n"/>
      <c r="L3" s="301" t="n"/>
    </row>
    <row r="4" ht="22.5" customHeight="1" s="221">
      <c r="A4" s="345">
        <f>D26+J12</f>
        <v/>
      </c>
      <c r="C4" s="328" t="n"/>
      <c r="D4" s="346">
        <f>D65+I58</f>
        <v/>
      </c>
      <c r="F4" s="301" t="n"/>
      <c r="G4" s="347">
        <f>D66+I59</f>
        <v/>
      </c>
      <c r="I4" s="301" t="n"/>
      <c r="J4" s="348">
        <f>A4-D4-G4</f>
        <v/>
      </c>
      <c r="K4" s="301" t="n"/>
      <c r="L4" s="301" t="n"/>
    </row>
    <row r="5" ht="15" customHeight="1" s="221">
      <c r="A5" s="301" t="n"/>
      <c r="B5" s="301" t="n"/>
      <c r="C5" s="301" t="n"/>
      <c r="D5" s="301" t="n"/>
      <c r="E5" s="301" t="n"/>
      <c r="F5" s="301" t="n"/>
      <c r="G5" s="301" t="n"/>
      <c r="H5" s="301" t="n"/>
      <c r="I5" s="301" t="n"/>
      <c r="J5" s="301" t="n"/>
      <c r="K5" s="301" t="n"/>
      <c r="L5" s="301" t="n"/>
    </row>
    <row r="6" ht="15.75" customHeight="1" s="221">
      <c r="A6" s="349" t="inlineStr">
        <is>
          <t>⚠️ PRÉSTAMO NT → FAMILIA</t>
        </is>
      </c>
      <c r="D6" s="350">
        <f>SUMIF('Ing-Egr Marzo 2026'!B4:B103,"Préstamo NT → Familia",'Ing-Egr Marzo 2026'!F4:F103)-SUMIF('Ing-Egr Marzo 2026'!B4:B103,"Devolución Familia → NT",'Ing-Egr Marzo 2026'!E4:E103)</f>
        <v/>
      </c>
      <c r="E6" s="301" t="n"/>
      <c r="F6" s="351" t="inlineStr">
        <is>
          <t>Estado:</t>
        </is>
      </c>
      <c r="G6" s="351">
        <f>IF(D6=0,"🟢 SANO","🔴 FUGA")</f>
        <v/>
      </c>
      <c r="H6" s="301" t="n"/>
      <c r="I6" s="339" t="inlineStr">
        <is>
          <t>(Ideal = 0)</t>
        </is>
      </c>
      <c r="J6" s="301" t="n"/>
      <c r="K6" s="301" t="n"/>
      <c r="L6" s="301" t="n"/>
    </row>
    <row r="7" ht="15" customHeight="1" s="221">
      <c r="A7" s="301" t="n"/>
      <c r="B7" s="301" t="n"/>
      <c r="C7" s="301" t="n"/>
      <c r="D7" s="301" t="n"/>
      <c r="E7" s="301" t="n"/>
      <c r="F7" s="301" t="n"/>
      <c r="G7" s="301" t="n"/>
      <c r="H7" s="301" t="n"/>
      <c r="I7" s="301" t="n"/>
      <c r="J7" s="301" t="n"/>
      <c r="K7" s="301" t="n"/>
      <c r="L7" s="301" t="n"/>
    </row>
    <row r="8" ht="15" customHeight="1" s="221">
      <c r="A8" s="352" t="inlineStr">
        <is>
          <t>💵 INGRESOS FAMILIA</t>
        </is>
      </c>
      <c r="B8" s="256" t="n"/>
      <c r="C8" s="256" t="n"/>
      <c r="D8" s="353" t="n"/>
      <c r="E8" s="354" t="n"/>
      <c r="F8" s="354" t="n"/>
      <c r="G8" s="355" t="inlineStr">
        <is>
          <t>💵 INGRESOS NEUROTEA</t>
        </is>
      </c>
      <c r="H8" s="256" t="n"/>
      <c r="I8" s="256" t="n"/>
      <c r="J8" s="353" t="n"/>
      <c r="K8" s="301" t="n"/>
      <c r="L8" s="301" t="n"/>
    </row>
    <row r="9" ht="15" customHeight="1" s="221">
      <c r="A9" s="356" t="inlineStr">
        <is>
          <t>MARCO ITAIPU</t>
        </is>
      </c>
      <c r="B9" s="353" t="n"/>
      <c r="C9" s="357" t="inlineStr">
        <is>
          <t>Fecha</t>
        </is>
      </c>
      <c r="D9" s="358" t="inlineStr">
        <is>
          <t>Monto</t>
        </is>
      </c>
      <c r="E9" s="359" t="n"/>
      <c r="F9" s="360" t="n"/>
      <c r="G9" s="361" t="inlineStr">
        <is>
          <t>Ingreso del Mes</t>
        </is>
      </c>
      <c r="H9" s="256" t="n"/>
      <c r="I9" s="353" t="n"/>
      <c r="J9" s="362" t="inlineStr">
        <is>
          <t>Monto</t>
        </is>
      </c>
      <c r="K9" s="301" t="n"/>
      <c r="L9" s="301" t="n"/>
    </row>
    <row r="10" ht="15" customHeight="1" s="221">
      <c r="A10" s="363" t="inlineStr">
        <is>
          <t>Salario Mensual</t>
        </is>
      </c>
      <c r="B10" s="364" t="n"/>
      <c r="C10" s="365" t="n"/>
      <c r="D10" s="366">
        <f>SUMIFS('Ing-Egr Marzo 2026'!E4:E103,'Ing-Egr Marzo 2026'!B4:B103,"Ingreso Marco",'Ing-Egr Marzo 2026'!C4:C103,A10)</f>
        <v/>
      </c>
      <c r="E10" s="359" t="n"/>
      <c r="F10" s="360" t="n"/>
      <c r="G10" s="367" t="inlineStr">
        <is>
          <t>(Suma desde pestaña Ing-Egr Marzo)</t>
        </is>
      </c>
      <c r="H10" s="256" t="n"/>
      <c r="I10" s="353" t="n"/>
      <c r="J10" s="368">
        <f>SUMIF('Ing-Egr Marzo 2026'!B4:B103,"Ingreso NT",'Ing-Egr Marzo 2026'!E4:E103)</f>
        <v/>
      </c>
      <c r="K10" s="301" t="n"/>
      <c r="L10" s="301" t="n"/>
    </row>
    <row r="11" ht="15" customHeight="1" s="221">
      <c r="A11" s="369" t="inlineStr">
        <is>
          <t>Vacaciones</t>
        </is>
      </c>
      <c r="B11" s="370" t="n"/>
      <c r="C11" s="371" t="n"/>
      <c r="D11" s="366">
        <f>SUMIFS('Ing-Egr Marzo 2026'!E4:E103,'Ing-Egr Marzo 2026'!B4:B103,"Ingreso Marco",'Ing-Egr Marzo 2026'!C4:C103,A11)</f>
        <v/>
      </c>
      <c r="E11" s="359" t="n"/>
      <c r="F11" s="360" t="n"/>
      <c r="G11" s="359" t="n"/>
      <c r="H11" s="301" t="n"/>
      <c r="I11" s="301" t="n"/>
      <c r="J11" s="301" t="n"/>
      <c r="K11" s="301" t="n"/>
      <c r="L11" s="301" t="n"/>
    </row>
    <row r="12" ht="15" customHeight="1" s="221">
      <c r="A12" s="363" t="inlineStr">
        <is>
          <t>Aguinaldo</t>
        </is>
      </c>
      <c r="B12" s="364" t="n"/>
      <c r="C12" s="365" t="n"/>
      <c r="D12" s="366">
        <f>SUMIFS('Ing-Egr Marzo 2026'!E4:E103,'Ing-Egr Marzo 2026'!B4:B103,"Ingreso Marco",'Ing-Egr Marzo 2026'!C4:C103,A12)</f>
        <v/>
      </c>
      <c r="E12" s="359" t="n"/>
      <c r="F12" s="360" t="n"/>
      <c r="G12" s="372" t="inlineStr">
        <is>
          <t>═══ TOTAL INGRESOS NT ═══</t>
        </is>
      </c>
      <c r="H12" s="256" t="n"/>
      <c r="I12" s="353" t="n"/>
      <c r="J12" s="373">
        <f>J10</f>
        <v/>
      </c>
      <c r="K12" s="301" t="n"/>
      <c r="L12" s="301" t="n"/>
    </row>
    <row r="13" ht="15" customHeight="1" s="221">
      <c r="A13" s="369" t="inlineStr">
        <is>
          <t>Viático</t>
        </is>
      </c>
      <c r="B13" s="370" t="n"/>
      <c r="C13" s="371" t="n"/>
      <c r="D13" s="366">
        <f>SUMIFS('Ing-Egr Marzo 2026'!E4:E103,'Ing-Egr Marzo 2026'!B4:B103,"Ingreso Marco",'Ing-Egr Marzo 2026'!C4:C103,A13)</f>
        <v/>
      </c>
      <c r="E13" s="359" t="n"/>
      <c r="F13" s="360" t="n"/>
      <c r="G13" s="359" t="n"/>
      <c r="H13" s="301" t="n"/>
      <c r="I13" s="301" t="n"/>
      <c r="J13" s="301" t="n"/>
      <c r="K13" s="301" t="n"/>
      <c r="L13" s="301" t="n"/>
    </row>
    <row r="14" ht="15" customHeight="1" s="221">
      <c r="A14" s="363" t="inlineStr">
        <is>
          <t>Animador Bíblico</t>
        </is>
      </c>
      <c r="B14" s="364" t="n"/>
      <c r="C14" s="365" t="n"/>
      <c r="D14" s="366">
        <f>SUMIFS('Ing-Egr Marzo 2026'!E4:E103,'Ing-Egr Marzo 2026'!B4:B103,"Ingreso Marco",'Ing-Egr Marzo 2026'!C4:C103,A14)</f>
        <v/>
      </c>
      <c r="E14" s="359" t="n"/>
      <c r="F14" s="360" t="n"/>
      <c r="G14" s="359" t="n"/>
      <c r="H14" s="301" t="n"/>
      <c r="I14" s="301" t="n"/>
      <c r="J14" s="301" t="n"/>
      <c r="K14" s="301" t="n"/>
      <c r="L14" s="301" t="n"/>
    </row>
    <row r="15" ht="15" customHeight="1" s="221">
      <c r="A15" s="369" t="inlineStr">
        <is>
          <t>Otros Ocasionales</t>
        </is>
      </c>
      <c r="B15" s="370" t="n"/>
      <c r="C15" s="371" t="n"/>
      <c r="D15" s="366">
        <f>SUMIFS('Ing-Egr Marzo 2026'!E4:E103,'Ing-Egr Marzo 2026'!B4:B103,"Ingreso Marco",'Ing-Egr Marzo 2026'!C4:C103,A15)</f>
        <v/>
      </c>
      <c r="E15" s="359" t="n"/>
      <c r="F15" s="360" t="n"/>
      <c r="G15" s="359" t="n"/>
      <c r="H15" s="301" t="n"/>
      <c r="I15" s="374">
        <f>J12</f>
        <v/>
      </c>
      <c r="J15" s="301" t="n"/>
      <c r="K15" s="301" t="n"/>
      <c r="L15" s="301" t="n"/>
    </row>
    <row r="16" ht="15" customHeight="1" s="221">
      <c r="A16" s="375" t="inlineStr">
        <is>
          <t>TOTAL MARCO</t>
        </is>
      </c>
      <c r="B16" s="360" t="n"/>
      <c r="C16" s="359" t="n"/>
      <c r="D16" s="376">
        <f>SUM(D10:D15)</f>
        <v/>
      </c>
      <c r="E16" s="359" t="n"/>
      <c r="F16" s="360" t="n"/>
      <c r="G16" s="359" t="n"/>
      <c r="H16" s="301" t="n"/>
      <c r="I16" s="301" t="n"/>
      <c r="J16" s="301" t="n"/>
      <c r="K16" s="301" t="n"/>
      <c r="L16" s="301" t="n"/>
    </row>
    <row r="17" ht="15" customHeight="1" s="221">
      <c r="A17" s="377" t="inlineStr">
        <is>
          <t>CLARA</t>
        </is>
      </c>
      <c r="B17" s="353" t="n"/>
      <c r="C17" s="378" t="inlineStr">
        <is>
          <t>Fecha</t>
        </is>
      </c>
      <c r="D17" s="379" t="inlineStr">
        <is>
          <t>Monto</t>
        </is>
      </c>
      <c r="E17" s="359" t="n"/>
      <c r="F17" s="360" t="n"/>
      <c r="G17" s="359" t="n"/>
      <c r="H17" s="301" t="n"/>
      <c r="I17" s="301" t="n"/>
      <c r="J17" s="301" t="n"/>
      <c r="K17" s="301" t="n"/>
      <c r="L17" s="301" t="n"/>
    </row>
    <row r="18" ht="15" customHeight="1" s="221">
      <c r="A18" s="380" t="inlineStr">
        <is>
          <t>Honorarios Diarios</t>
        </is>
      </c>
      <c r="B18" s="381" t="n"/>
      <c r="C18" s="382" t="n"/>
      <c r="D18" s="383">
        <f>SUMIF('Ing-Egr Marzo 2026'!B4:B103,"Ingreso Clara",'Ing-Egr Marzo 2026'!E4:E103)</f>
        <v/>
      </c>
      <c r="E18" s="359" t="n"/>
      <c r="F18" s="360" t="n"/>
      <c r="G18" s="359" t="n"/>
      <c r="H18" s="301" t="n"/>
      <c r="I18" s="301" t="n"/>
      <c r="J18" s="301" t="n"/>
      <c r="K18" s="301" t="n"/>
      <c r="L18" s="301" t="n"/>
    </row>
    <row r="19" ht="15" customHeight="1" s="221">
      <c r="A19" s="384" t="inlineStr">
        <is>
          <t>TOTAL CLARA</t>
        </is>
      </c>
      <c r="B19" s="301" t="n"/>
      <c r="C19" s="301" t="n"/>
      <c r="D19" s="385">
        <f>D18</f>
        <v/>
      </c>
      <c r="E19" s="359" t="n"/>
      <c r="F19" s="360" t="n"/>
      <c r="G19" s="359" t="n"/>
      <c r="H19" s="301" t="n"/>
      <c r="I19" s="301" t="n"/>
      <c r="J19" s="301" t="n"/>
      <c r="K19" s="301" t="n"/>
      <c r="L19" s="301" t="n"/>
    </row>
    <row r="20" ht="15" customHeight="1" s="221">
      <c r="A20" s="386" t="inlineStr">
        <is>
          <t>DESDE NEUROTEA</t>
        </is>
      </c>
      <c r="D20" s="387" t="inlineStr">
        <is>
          <t>Monto</t>
        </is>
      </c>
      <c r="E20" s="359" t="n"/>
      <c r="F20" s="360" t="n"/>
      <c r="G20" s="359" t="n"/>
      <c r="H20" s="301" t="n"/>
      <c r="I20" s="301" t="n"/>
      <c r="J20" s="301" t="n"/>
      <c r="K20" s="301" t="n"/>
      <c r="L20" s="301" t="n"/>
    </row>
    <row r="21" ht="15" customHeight="1" s="221">
      <c r="A21" s="388" t="inlineStr">
        <is>
          <t>Salario Admin Marco</t>
        </is>
      </c>
      <c r="B21" s="388" t="n"/>
      <c r="C21" s="388" t="n"/>
      <c r="D21" s="389" t="n">
        <v>0</v>
      </c>
      <c r="E21" s="359" t="n"/>
      <c r="F21" s="360" t="n"/>
      <c r="G21" s="359" t="n"/>
      <c r="H21" s="301" t="n"/>
      <c r="I21" s="301" t="n"/>
      <c r="J21" s="301" t="n"/>
      <c r="K21" s="301" t="n"/>
      <c r="L21" s="301" t="n"/>
    </row>
    <row r="22" ht="15" customHeight="1" s="221">
      <c r="A22" s="390" t="inlineStr">
        <is>
          <t>Ganancia NT → Familia</t>
        </is>
      </c>
      <c r="B22" s="390" t="n"/>
      <c r="C22" s="390" t="n"/>
      <c r="D22" s="391" t="n">
        <v>0</v>
      </c>
      <c r="E22" s="359" t="n"/>
      <c r="F22" s="360" t="n"/>
      <c r="G22" s="359" t="n"/>
      <c r="H22" s="301" t="n"/>
      <c r="I22" s="301" t="n"/>
      <c r="J22" s="301" t="n"/>
      <c r="K22" s="301" t="n"/>
      <c r="L22" s="301" t="n"/>
    </row>
    <row r="23" ht="15" customHeight="1" s="221">
      <c r="A23" s="388" t="inlineStr">
        <is>
          <t>Préstamo NT (automático)</t>
        </is>
      </c>
      <c r="B23" s="388" t="n"/>
      <c r="C23" s="388" t="n"/>
      <c r="D23" s="389">
        <f>D6</f>
        <v/>
      </c>
      <c r="E23" s="359" t="n"/>
      <c r="F23" s="360" t="n"/>
      <c r="G23" s="359" t="n"/>
      <c r="H23" s="301" t="n"/>
      <c r="I23" s="301" t="n"/>
      <c r="J23" s="301" t="n"/>
      <c r="K23" s="301" t="n"/>
      <c r="L23" s="301" t="n"/>
    </row>
    <row r="24" ht="15" customHeight="1" s="221">
      <c r="A24" s="392" t="inlineStr">
        <is>
          <t>TOTAL DESDE NT</t>
        </is>
      </c>
      <c r="B24" s="301" t="n"/>
      <c r="C24" s="301" t="n"/>
      <c r="D24" s="393">
        <f>SUM(D21:D23)</f>
        <v/>
      </c>
      <c r="E24" s="359" t="n"/>
      <c r="F24" s="360" t="n"/>
      <c r="G24" s="359" t="n"/>
      <c r="H24" s="301" t="n"/>
      <c r="I24" s="301" t="n"/>
      <c r="J24" s="301" t="n"/>
      <c r="K24" s="301" t="n"/>
      <c r="L24" s="301" t="n"/>
    </row>
    <row r="25" ht="15" customHeight="1" s="221">
      <c r="A25" s="301" t="n"/>
      <c r="B25" s="301" t="n"/>
      <c r="C25" s="301" t="n"/>
      <c r="D25" s="360" t="n"/>
      <c r="E25" s="359" t="n"/>
      <c r="F25" s="360" t="n"/>
      <c r="G25" s="359" t="n"/>
      <c r="H25" s="301" t="n"/>
      <c r="I25" s="301" t="n"/>
      <c r="J25" s="301" t="n"/>
      <c r="K25" s="301" t="n"/>
      <c r="L25" s="301" t="n"/>
    </row>
    <row r="26" ht="15" customHeight="1" s="221">
      <c r="A26" s="223" t="inlineStr">
        <is>
          <t>═══ TOTAL INGRESOS FAMILIA ═══</t>
        </is>
      </c>
      <c r="D26" s="394">
        <f>D16+D19+D24</f>
        <v/>
      </c>
      <c r="E26" s="359" t="n"/>
      <c r="F26" s="360" t="n"/>
      <c r="G26" s="359" t="n"/>
      <c r="H26" s="301" t="n"/>
      <c r="I26" s="301" t="n"/>
      <c r="J26" s="301" t="n"/>
      <c r="K26" s="301" t="n"/>
      <c r="L26" s="301" t="n"/>
    </row>
    <row r="27" ht="15" customHeight="1" s="221">
      <c r="A27" s="301" t="n"/>
      <c r="B27" s="301" t="n"/>
      <c r="C27" s="301" t="n"/>
      <c r="D27" s="360" t="n"/>
      <c r="E27" s="359" t="n"/>
      <c r="F27" s="360" t="n"/>
      <c r="G27" s="359" t="n"/>
      <c r="H27" s="301" t="n"/>
      <c r="I27" s="301" t="n"/>
      <c r="J27" s="301" t="n"/>
      <c r="K27" s="301" t="n"/>
      <c r="L27" s="301" t="n"/>
    </row>
    <row r="28" ht="15.75" customHeight="1" s="221">
      <c r="A28" s="395" t="inlineStr">
        <is>
          <t>📉 GASTOS FAMILIARES</t>
        </is>
      </c>
      <c r="E28" s="328" t="n"/>
      <c r="F28" s="301" t="n"/>
      <c r="G28" s="396" t="inlineStr">
        <is>
          <t>📉 GASTOS NEUROTEA</t>
        </is>
      </c>
      <c r="K28" s="301" t="n"/>
      <c r="L28" s="301" t="n"/>
    </row>
    <row r="29" ht="15" customHeight="1" s="221">
      <c r="A29" s="397" t="inlineStr">
        <is>
          <t>Detalle</t>
        </is>
      </c>
      <c r="B29" s="397" t="inlineStr">
        <is>
          <t>Estado</t>
        </is>
      </c>
      <c r="C29" s="397" t="inlineStr">
        <is>
          <t>Monto</t>
        </is>
      </c>
      <c r="D29" s="397" t="inlineStr">
        <is>
          <t>Venc.</t>
        </is>
      </c>
      <c r="E29" s="301" t="n"/>
      <c r="F29" s="301" t="n"/>
      <c r="G29" s="398" t="inlineStr">
        <is>
          <t>Detalle</t>
        </is>
      </c>
      <c r="H29" s="398" t="inlineStr">
        <is>
          <t>Estado</t>
        </is>
      </c>
      <c r="I29" s="398" t="inlineStr">
        <is>
          <t>Monto</t>
        </is>
      </c>
      <c r="J29" s="398" t="inlineStr">
        <is>
          <t>Venc.</t>
        </is>
      </c>
      <c r="K29" s="301" t="n"/>
      <c r="L29" s="301" t="n"/>
    </row>
    <row r="30" ht="15.75" customHeight="1" s="221">
      <c r="A30" s="399" t="inlineStr">
        <is>
          <t>► GASTOS FIJOS ✏️</t>
        </is>
      </c>
      <c r="E30" s="301" t="n"/>
      <c r="F30" s="301" t="n"/>
      <c r="G30" s="400" t="inlineStr">
        <is>
          <t>► GASTOS FIJOS ✏️</t>
        </is>
      </c>
      <c r="K30" s="301" t="n"/>
      <c r="L30" s="301" t="n"/>
    </row>
    <row r="31" ht="15" customHeight="1" s="221">
      <c r="A31" s="401" t="inlineStr">
        <is>
          <t>Salario Lili Doméstico</t>
        </is>
      </c>
      <c r="B31" s="401" t="inlineStr">
        <is>
          <t>Ninguno</t>
        </is>
      </c>
      <c r="C31" s="402" t="n"/>
      <c r="D31" s="458" t="n"/>
      <c r="E31" s="301" t="n"/>
      <c r="F31" s="301" t="n"/>
      <c r="G31" s="403" t="inlineStr">
        <is>
          <t>Alquiler 1 (Principal)</t>
        </is>
      </c>
      <c r="H31" s="403" t="inlineStr">
        <is>
          <t>Ninguno</t>
        </is>
      </c>
      <c r="I31" s="404" t="n">
        <v>0</v>
      </c>
      <c r="J31" s="459" t="n"/>
      <c r="K31" s="301" t="n"/>
      <c r="L31" s="301" t="n"/>
    </row>
    <row r="32" ht="15" customHeight="1" s="221">
      <c r="A32" s="405" t="inlineStr">
        <is>
          <t>Salario Laura Doméstico</t>
        </is>
      </c>
      <c r="B32" s="405" t="inlineStr">
        <is>
          <t>Ninguno</t>
        </is>
      </c>
      <c r="C32" s="406" t="n"/>
      <c r="D32" s="460" t="n"/>
      <c r="E32" s="301" t="n"/>
      <c r="F32" s="301" t="n"/>
      <c r="G32" s="407" t="inlineStr">
        <is>
          <t>Alquiler 2 (Secundario)</t>
        </is>
      </c>
      <c r="H32" s="407" t="inlineStr">
        <is>
          <t>Ninguno</t>
        </is>
      </c>
      <c r="I32" s="408" t="n">
        <v>0</v>
      </c>
      <c r="J32" s="461" t="n"/>
      <c r="K32" s="301" t="n"/>
      <c r="L32" s="301" t="n"/>
    </row>
    <row r="33" ht="15" customHeight="1" s="221">
      <c r="A33" s="401" t="inlineStr">
        <is>
          <t>Escuela Fabián y Brenda</t>
        </is>
      </c>
      <c r="B33" s="401" t="inlineStr">
        <is>
          <t>Ninguno</t>
        </is>
      </c>
      <c r="C33" s="402" t="n"/>
      <c r="D33" s="458" t="n"/>
      <c r="E33" s="301" t="n"/>
      <c r="F33" s="301" t="n"/>
      <c r="G33" s="403" t="inlineStr">
        <is>
          <t>Limpieza NeuroTEA</t>
        </is>
      </c>
      <c r="H33" s="403" t="inlineStr">
        <is>
          <t>Ninguno</t>
        </is>
      </c>
      <c r="I33" s="404" t="n">
        <v>0</v>
      </c>
      <c r="J33" s="459" t="n"/>
      <c r="K33" s="301" t="n"/>
      <c r="L33" s="301" t="n"/>
    </row>
    <row r="34" ht="15" customHeight="1" s="221">
      <c r="A34" s="405" t="inlineStr">
        <is>
          <t>Robótica Niños</t>
        </is>
      </c>
      <c r="B34" s="405" t="inlineStr">
        <is>
          <t>Ninguno</t>
        </is>
      </c>
      <c r="C34" s="406" t="n"/>
      <c r="D34" s="460" t="n"/>
      <c r="E34" s="301" t="n"/>
      <c r="F34" s="301" t="n"/>
      <c r="G34" s="400" t="inlineStr">
        <is>
          <t>► SUELDOS Y HONORARIOS ✏️</t>
        </is>
      </c>
      <c r="K34" s="301" t="n"/>
      <c r="L34" s="301" t="n"/>
    </row>
    <row r="35" ht="15" customHeight="1" s="221">
      <c r="A35" s="410" t="inlineStr">
        <is>
          <t>ANDE Casa</t>
        </is>
      </c>
      <c r="B35" s="410" t="inlineStr">
        <is>
          <t>Ninguno</t>
        </is>
      </c>
      <c r="C35" s="411" t="n"/>
      <c r="D35" s="463" t="n"/>
      <c r="E35" s="301" t="n"/>
      <c r="F35" s="301" t="n"/>
      <c r="G35" s="403" t="inlineStr">
        <is>
          <t>Sueldo Aracely</t>
        </is>
      </c>
      <c r="H35" s="403" t="inlineStr">
        <is>
          <t>Ninguno</t>
        </is>
      </c>
      <c r="I35" s="404" t="n">
        <v>0</v>
      </c>
      <c r="J35" s="459" t="n"/>
      <c r="K35" s="301" t="n"/>
      <c r="L35" s="301" t="n"/>
    </row>
    <row r="36" ht="15" customHeight="1" s="221">
      <c r="A36" s="405" t="inlineStr">
        <is>
          <t>Expensa Casa</t>
        </is>
      </c>
      <c r="B36" s="405" t="inlineStr">
        <is>
          <t>Ninguno</t>
        </is>
      </c>
      <c r="C36" s="406" t="n"/>
      <c r="D36" s="460" t="n"/>
      <c r="E36" s="301" t="n"/>
      <c r="F36" s="301" t="n"/>
      <c r="G36" s="407" t="inlineStr">
        <is>
          <t>Sueldo Fátima</t>
        </is>
      </c>
      <c r="H36" s="407" t="inlineStr">
        <is>
          <t>Ninguno</t>
        </is>
      </c>
      <c r="I36" s="408" t="n">
        <v>0</v>
      </c>
      <c r="J36" s="461" t="n"/>
      <c r="K36" s="301" t="n"/>
      <c r="L36" s="301" t="n"/>
    </row>
    <row r="37" ht="15" customHeight="1" s="221">
      <c r="A37" s="410" t="inlineStr">
        <is>
          <t>Cajubi Marco</t>
        </is>
      </c>
      <c r="B37" s="410" t="inlineStr">
        <is>
          <t>Ninguno</t>
        </is>
      </c>
      <c r="C37" s="411" t="n"/>
      <c r="D37" s="463" t="n"/>
      <c r="E37" s="301" t="n"/>
      <c r="F37" s="301" t="n"/>
      <c r="G37" s="403" t="inlineStr">
        <is>
          <t>Honorario Contador</t>
        </is>
      </c>
      <c r="H37" s="403" t="inlineStr">
        <is>
          <t>Ninguno</t>
        </is>
      </c>
      <c r="I37" s="404" t="n">
        <v>0</v>
      </c>
      <c r="J37" s="459" t="n"/>
      <c r="K37" s="301" t="n"/>
      <c r="L37" s="301" t="n"/>
    </row>
    <row r="38" ht="15" customHeight="1" s="221">
      <c r="A38" s="405" t="inlineStr">
        <is>
          <t>Mutual Marco</t>
        </is>
      </c>
      <c r="B38" s="405" t="inlineStr">
        <is>
          <t>Ninguno</t>
        </is>
      </c>
      <c r="C38" s="406" t="n"/>
      <c r="D38" s="460" t="n"/>
      <c r="E38" s="301" t="n"/>
      <c r="F38" s="301" t="n"/>
      <c r="G38" s="407" t="inlineStr">
        <is>
          <t>Salario Administrador</t>
        </is>
      </c>
      <c r="H38" s="407" t="inlineStr">
        <is>
          <t>Ninguno</t>
        </is>
      </c>
      <c r="I38" s="408" t="n">
        <v>0</v>
      </c>
      <c r="J38" s="461" t="n"/>
      <c r="K38" s="301" t="n"/>
      <c r="L38" s="301" t="n"/>
    </row>
    <row r="39" ht="15" customHeight="1" s="221">
      <c r="A39" s="410" t="inlineStr">
        <is>
          <t>Ña Luisa</t>
        </is>
      </c>
      <c r="B39" s="410" t="inlineStr">
        <is>
          <t>Ninguno</t>
        </is>
      </c>
      <c r="C39" s="411" t="n"/>
      <c r="D39" s="463" t="n"/>
      <c r="E39" s="301" t="n"/>
      <c r="F39" s="301" t="n"/>
      <c r="G39" s="403" t="inlineStr">
        <is>
          <t>Honorario Mant. Sistema</t>
        </is>
      </c>
      <c r="H39" s="403" t="inlineStr">
        <is>
          <t>Ninguno</t>
        </is>
      </c>
      <c r="I39" s="404" t="n">
        <v>0</v>
      </c>
      <c r="J39" s="459" t="n"/>
      <c r="K39" s="301" t="n"/>
      <c r="L39" s="301" t="n"/>
    </row>
    <row r="40" ht="15" customHeight="1" s="221">
      <c r="A40" s="405" t="inlineStr">
        <is>
          <t>Seguro Médico Papá y Mamá</t>
        </is>
      </c>
      <c r="B40" s="405" t="inlineStr">
        <is>
          <t>Ninguno</t>
        </is>
      </c>
      <c r="C40" s="406" t="n"/>
      <c r="D40" s="460" t="n"/>
      <c r="E40" s="301" t="n"/>
      <c r="F40" s="301" t="n"/>
      <c r="G40" s="400" t="inlineStr">
        <is>
          <t>► TELEFONÍA E INTERNET ✏️</t>
        </is>
      </c>
      <c r="K40" s="301" t="n"/>
      <c r="L40" s="301" t="n"/>
    </row>
    <row r="41" ht="15" customHeight="1" s="221">
      <c r="A41" s="413" t="inlineStr">
        <is>
          <t>► CUOTAS Y PRÉSTAMOS ✏️</t>
        </is>
      </c>
      <c r="B41" s="256" t="n"/>
      <c r="C41" s="256" t="n"/>
      <c r="D41" s="353" t="n"/>
      <c r="E41" s="301" t="n"/>
      <c r="F41" s="301" t="n"/>
      <c r="G41" s="403" t="inlineStr">
        <is>
          <t>Celular Tigo NeuroTEA</t>
        </is>
      </c>
      <c r="H41" s="403" t="inlineStr">
        <is>
          <t>Ninguno</t>
        </is>
      </c>
      <c r="I41" s="404" t="n">
        <v>0</v>
      </c>
      <c r="J41" s="459" t="n"/>
      <c r="K41" s="301" t="n"/>
      <c r="L41" s="301" t="n"/>
    </row>
    <row r="42" ht="15" customHeight="1" s="221">
      <c r="A42" s="410" t="inlineStr">
        <is>
          <t>Auto Laura Cuota</t>
        </is>
      </c>
      <c r="B42" s="410" t="inlineStr">
        <is>
          <t>Ninguno</t>
        </is>
      </c>
      <c r="C42" s="411" t="n"/>
      <c r="D42" s="463" t="n"/>
      <c r="E42" s="301" t="n"/>
      <c r="F42" s="301" t="n"/>
      <c r="G42" s="407" t="inlineStr">
        <is>
          <t>Celular Tigo Sistema</t>
        </is>
      </c>
      <c r="H42" s="407" t="inlineStr">
        <is>
          <t>Ninguno</t>
        </is>
      </c>
      <c r="I42" s="408" t="n">
        <v>0</v>
      </c>
      <c r="J42" s="461" t="n"/>
      <c r="K42" s="301" t="n"/>
      <c r="L42" s="301" t="n"/>
    </row>
    <row r="43" ht="15" customHeight="1" s="221">
      <c r="A43" s="405" t="inlineStr">
        <is>
          <t>Coop. Universitaria Clara</t>
        </is>
      </c>
      <c r="B43" s="405" t="inlineStr">
        <is>
          <t>Ninguno</t>
        </is>
      </c>
      <c r="C43" s="406" t="n"/>
      <c r="D43" s="460" t="n"/>
      <c r="E43" s="301" t="n"/>
      <c r="F43" s="301" t="n"/>
      <c r="G43" s="403" t="inlineStr">
        <is>
          <t>WhatsFlow</t>
        </is>
      </c>
      <c r="H43" s="403" t="inlineStr">
        <is>
          <t>Ninguno</t>
        </is>
      </c>
      <c r="I43" s="404" t="n">
        <v>0</v>
      </c>
      <c r="J43" s="459" t="n"/>
      <c r="K43" s="301" t="n"/>
      <c r="L43" s="301" t="n"/>
    </row>
    <row r="44" ht="15" customHeight="1" s="221">
      <c r="A44" s="410" t="inlineStr">
        <is>
          <t>Coomecipar Clara</t>
        </is>
      </c>
      <c r="B44" s="410" t="inlineStr">
        <is>
          <t>Ninguno</t>
        </is>
      </c>
      <c r="C44" s="411" t="n"/>
      <c r="D44" s="463" t="n"/>
      <c r="E44" s="301" t="n"/>
      <c r="F44" s="301" t="n"/>
      <c r="G44" s="407" t="inlineStr">
        <is>
          <t>Internet NeuroTEA</t>
        </is>
      </c>
      <c r="H44" s="407" t="inlineStr">
        <is>
          <t>Ninguno</t>
        </is>
      </c>
      <c r="I44" s="408" t="n">
        <v>0</v>
      </c>
      <c r="J44" s="461" t="n"/>
      <c r="K44" s="301" t="n"/>
      <c r="L44" s="301" t="n"/>
    </row>
    <row r="45" ht="15" customHeight="1" s="221">
      <c r="A45" s="414" t="inlineStr">
        <is>
          <t>Tarjeta Cred. Coomecipar</t>
        </is>
      </c>
      <c r="B45" s="414" t="inlineStr">
        <is>
          <t>Ninguno</t>
        </is>
      </c>
      <c r="C45" s="415" t="n"/>
      <c r="D45" s="465" t="n"/>
      <c r="E45" s="301" t="n"/>
      <c r="F45" s="301" t="n"/>
      <c r="G45" s="400" t="inlineStr">
        <is>
          <t>► IMPUESTOS ✏️</t>
        </is>
      </c>
      <c r="K45" s="301" t="n"/>
      <c r="L45" s="301" t="n"/>
    </row>
    <row r="46" ht="15" customHeight="1" s="221">
      <c r="A46" s="401" t="inlineStr">
        <is>
          <t>Solar Préstamo 1</t>
        </is>
      </c>
      <c r="B46" s="401" t="inlineStr">
        <is>
          <t>Ninguno</t>
        </is>
      </c>
      <c r="C46" s="402" t="n"/>
      <c r="D46" s="458" t="n"/>
      <c r="E46" s="301" t="n"/>
      <c r="F46" s="301" t="n"/>
      <c r="G46" s="403" t="inlineStr">
        <is>
          <t>IVA</t>
        </is>
      </c>
      <c r="H46" s="403" t="inlineStr">
        <is>
          <t>Ninguno</t>
        </is>
      </c>
      <c r="I46" s="404" t="n">
        <v>0</v>
      </c>
      <c r="J46" s="459" t="n"/>
      <c r="K46" s="301" t="n"/>
      <c r="L46" s="301" t="n"/>
    </row>
    <row r="47" ht="15" customHeight="1" s="221">
      <c r="A47" s="405" t="inlineStr">
        <is>
          <t>Solar Préstamo 2</t>
        </is>
      </c>
      <c r="B47" s="405" t="inlineStr">
        <is>
          <t>Ninguno</t>
        </is>
      </c>
      <c r="C47" s="406" t="n"/>
      <c r="D47" s="460" t="n"/>
      <c r="E47" s="301" t="n"/>
      <c r="F47" s="301" t="n"/>
      <c r="G47" s="400" t="inlineStr">
        <is>
          <t>► EVENTOS NT ✏️</t>
        </is>
      </c>
      <c r="K47" s="301" t="n"/>
      <c r="L47" s="301" t="n"/>
    </row>
    <row r="48" ht="15" customHeight="1" s="221">
      <c r="A48" s="410" t="inlineStr">
        <is>
          <t>Préstamo Lizzi Sueldos</t>
        </is>
      </c>
      <c r="B48" s="410" t="inlineStr">
        <is>
          <t>Ninguno</t>
        </is>
      </c>
      <c r="C48" s="411" t="n"/>
      <c r="D48" s="463" t="n"/>
      <c r="E48" s="301" t="n"/>
      <c r="F48" s="301" t="n"/>
      <c r="G48" s="403" t="inlineStr">
        <is>
          <t>Día del Niño NT</t>
        </is>
      </c>
      <c r="H48" s="403" t="inlineStr">
        <is>
          <t>Ninguno</t>
        </is>
      </c>
      <c r="I48" s="404" t="n">
        <v>0</v>
      </c>
      <c r="J48" s="459" t="n"/>
      <c r="K48" s="301" t="n"/>
      <c r="L48" s="301" t="n"/>
    </row>
    <row r="49" ht="15" customHeight="1" s="221">
      <c r="A49" s="405" t="inlineStr">
        <is>
          <t>Show Congelador</t>
        </is>
      </c>
      <c r="B49" s="405" t="inlineStr">
        <is>
          <t>Ninguno</t>
        </is>
      </c>
      <c r="C49" s="406" t="n"/>
      <c r="D49" s="460" t="n"/>
      <c r="E49" s="301" t="n"/>
      <c r="F49" s="301" t="n"/>
      <c r="G49" s="407" t="inlineStr">
        <is>
          <t>San Juan NT</t>
        </is>
      </c>
      <c r="H49" s="407" t="inlineStr">
        <is>
          <t>Ninguno</t>
        </is>
      </c>
      <c r="I49" s="408" t="n">
        <v>0</v>
      </c>
      <c r="J49" s="461" t="n"/>
      <c r="K49" s="301" t="n"/>
      <c r="L49" s="301" t="n"/>
    </row>
    <row r="50" ht="15" customHeight="1" s="221">
      <c r="A50" s="410" t="inlineStr">
        <is>
          <t>Olier Heladera</t>
        </is>
      </c>
      <c r="B50" s="410" t="inlineStr">
        <is>
          <t>Ninguno</t>
        </is>
      </c>
      <c r="C50" s="411" t="n"/>
      <c r="D50" s="463" t="n"/>
      <c r="E50" s="301" t="n"/>
      <c r="F50" s="301" t="n"/>
      <c r="G50" s="403" t="inlineStr">
        <is>
          <t>Día del Autismo NT</t>
        </is>
      </c>
      <c r="H50" s="403" t="inlineStr">
        <is>
          <t>Ninguno</t>
        </is>
      </c>
      <c r="I50" s="404" t="n">
        <v>0</v>
      </c>
      <c r="J50" s="459" t="n"/>
      <c r="K50" s="301" t="n"/>
      <c r="L50" s="301" t="n"/>
    </row>
    <row r="51" ht="15" customHeight="1" s="221">
      <c r="A51" s="413" t="inlineStr">
        <is>
          <t>► SUSCRIPCIONES E INTERNET ✏️</t>
        </is>
      </c>
      <c r="B51" s="256" t="n"/>
      <c r="C51" s="256" t="n"/>
      <c r="D51" s="353" t="n"/>
      <c r="E51" s="301" t="n"/>
      <c r="F51" s="301" t="n"/>
      <c r="G51" s="407" t="inlineStr">
        <is>
          <t>Clausura Padres NT</t>
        </is>
      </c>
      <c r="H51" s="407" t="inlineStr">
        <is>
          <t>Ninguno</t>
        </is>
      </c>
      <c r="I51" s="408" t="n">
        <v>0</v>
      </c>
      <c r="J51" s="461" t="n"/>
      <c r="K51" s="301" t="n"/>
      <c r="L51" s="301" t="n"/>
    </row>
    <row r="52" ht="15" customHeight="1" s="221">
      <c r="A52" s="410" t="inlineStr">
        <is>
          <t>Giganet</t>
        </is>
      </c>
      <c r="B52" s="410" t="inlineStr">
        <is>
          <t>Ninguno</t>
        </is>
      </c>
      <c r="C52" s="411" t="n"/>
      <c r="D52" s="463" t="n"/>
      <c r="E52" s="301" t="n"/>
      <c r="F52" s="301" t="n"/>
      <c r="G52" s="403" t="inlineStr">
        <is>
          <t>Navidad Papá Noel NT</t>
        </is>
      </c>
      <c r="H52" s="403" t="inlineStr">
        <is>
          <t>Ninguno</t>
        </is>
      </c>
      <c r="I52" s="404" t="n">
        <v>0</v>
      </c>
      <c r="J52" s="459" t="n"/>
      <c r="K52" s="301" t="n"/>
      <c r="L52" s="301" t="n"/>
    </row>
    <row r="53" ht="15" customHeight="1" s="221">
      <c r="A53" s="405" t="inlineStr">
        <is>
          <t>Tigo Internet/Celulares</t>
        </is>
      </c>
      <c r="B53" s="405" t="inlineStr">
        <is>
          <t>Ninguno</t>
        </is>
      </c>
      <c r="C53" s="406" t="n"/>
      <c r="D53" s="460" t="n"/>
      <c r="E53" s="301" t="n"/>
      <c r="F53" s="301" t="n"/>
      <c r="G53" s="407" t="inlineStr">
        <is>
          <t>Cena Fin de Año NT</t>
        </is>
      </c>
      <c r="H53" s="407" t="inlineStr">
        <is>
          <t>Ninguno</t>
        </is>
      </c>
      <c r="I53" s="408" t="n">
        <v>0</v>
      </c>
      <c r="J53" s="461" t="n"/>
      <c r="K53" s="301" t="n"/>
      <c r="L53" s="301" t="n"/>
    </row>
    <row r="54" ht="15" customHeight="1" s="221">
      <c r="A54" s="410" t="inlineStr">
        <is>
          <t>Tigo Familiar</t>
        </is>
      </c>
      <c r="B54" s="410" t="inlineStr">
        <is>
          <t>Ninguno</t>
        </is>
      </c>
      <c r="C54" s="411" t="n"/>
      <c r="D54" s="463" t="n"/>
      <c r="E54" s="301" t="n"/>
      <c r="F54" s="301" t="n"/>
      <c r="G54" s="400" t="inlineStr">
        <is>
          <t>► GASTOS VARIABLES NT 🔗</t>
        </is>
      </c>
      <c r="K54" s="301" t="n"/>
      <c r="L54" s="301" t="n"/>
    </row>
    <row r="55" ht="15" customHeight="1" s="221">
      <c r="A55" s="405" t="inlineStr">
        <is>
          <t>Google One</t>
        </is>
      </c>
      <c r="B55" s="405" t="inlineStr">
        <is>
          <t>Ninguno</t>
        </is>
      </c>
      <c r="C55" s="406" t="n"/>
      <c r="D55" s="460" t="n"/>
      <c r="E55" s="301" t="n"/>
      <c r="F55" s="301" t="n"/>
      <c r="G55" s="403" t="inlineStr">
        <is>
          <t>Insumos NT</t>
        </is>
      </c>
      <c r="H55" s="403" t="inlineStr">
        <is>
          <t>Ninguno</t>
        </is>
      </c>
      <c r="I55" s="404">
        <f>SUMIFS('Ing-Egr Marzo 2026'!F4:F103,'Ing-Egr Marzo 2026'!B4:B103,"Egreso NT",'Ing-Egr Marzo 2026'!C4:C103,G55)</f>
        <v/>
      </c>
      <c r="J55" s="459" t="n"/>
      <c r="K55" s="301" t="n"/>
      <c r="L55" s="301" t="n"/>
    </row>
    <row r="56" ht="15" customHeight="1" s="221">
      <c r="A56" s="410" t="inlineStr">
        <is>
          <t>ChatGPT</t>
        </is>
      </c>
      <c r="B56" s="410" t="inlineStr">
        <is>
          <t>Ninguno</t>
        </is>
      </c>
      <c r="C56" s="411" t="n"/>
      <c r="D56" s="463" t="n"/>
      <c r="E56" s="301" t="n"/>
      <c r="F56" s="301" t="n"/>
      <c r="G56" s="407" t="inlineStr">
        <is>
          <t>Papelería NT</t>
        </is>
      </c>
      <c r="H56" s="407" t="inlineStr">
        <is>
          <t>Ninguno</t>
        </is>
      </c>
      <c r="I56" s="408">
        <f>SUMIFS('Ing-Egr Marzo 2026'!F4:F103,'Ing-Egr Marzo 2026'!B4:B103,"Egreso NT",'Ing-Egr Marzo 2026'!C4:C103,G56)</f>
        <v/>
      </c>
      <c r="J56" s="461" t="n"/>
      <c r="K56" s="301" t="n"/>
      <c r="L56" s="301" t="n"/>
    </row>
    <row r="57" ht="15" customHeight="1" s="221">
      <c r="A57" s="414" t="inlineStr">
        <is>
          <t>Claude Marco</t>
        </is>
      </c>
      <c r="B57" s="414" t="inlineStr">
        <is>
          <t>Ninguno</t>
        </is>
      </c>
      <c r="C57" s="415" t="n"/>
      <c r="D57" s="465" t="n"/>
      <c r="E57" s="301" t="n"/>
      <c r="F57" s="301" t="n"/>
      <c r="G57" s="403" t="inlineStr">
        <is>
          <t>Mantenimiento NT</t>
        </is>
      </c>
      <c r="H57" s="403" t="inlineStr">
        <is>
          <t>Ninguno</t>
        </is>
      </c>
      <c r="I57" s="404">
        <f>SUMIFS('Ing-Egr Marzo 2026'!F4:F103,'Ing-Egr Marzo 2026'!B4:B103,"Egreso NT",'Ing-Egr Marzo 2026'!C4:C103,G57)</f>
        <v/>
      </c>
      <c r="J57" s="459" t="n"/>
      <c r="K57" s="301" t="n"/>
      <c r="L57" s="301" t="n"/>
    </row>
    <row r="58" ht="15" customHeight="1" s="221">
      <c r="A58" s="401" t="inlineStr">
        <is>
          <t>Claude Clara</t>
        </is>
      </c>
      <c r="B58" s="401" t="inlineStr">
        <is>
          <t>Ninguno</t>
        </is>
      </c>
      <c r="C58" s="402" t="n"/>
      <c r="D58" s="458" t="n"/>
      <c r="E58" s="301" t="n"/>
      <c r="F58" s="301" t="n"/>
      <c r="G58" s="407" t="inlineStr">
        <is>
          <t>Gastos Cursos NT</t>
        </is>
      </c>
      <c r="H58" s="407" t="inlineStr">
        <is>
          <t>Ninguno</t>
        </is>
      </c>
      <c r="I58" s="416">
        <f>SUMIFS('Ing-Egr Marzo 2026'!F4:F103,'Ing-Egr Marzo 2026'!B4:B103,"Egreso NT",'Ing-Egr Marzo 2026'!C4:C103,G58)</f>
        <v/>
      </c>
      <c r="J58" s="461" t="n"/>
      <c r="K58" s="301" t="n"/>
      <c r="L58" s="301" t="n"/>
    </row>
    <row r="59" ht="15" customHeight="1" s="221">
      <c r="A59" s="405" t="inlineStr">
        <is>
          <t>iLovePDF</t>
        </is>
      </c>
      <c r="B59" s="405" t="inlineStr">
        <is>
          <t>Ninguno</t>
        </is>
      </c>
      <c r="C59" s="406" t="n"/>
      <c r="D59" s="460" t="n"/>
      <c r="E59" s="301" t="n"/>
      <c r="F59" s="301" t="n"/>
      <c r="G59" s="403" t="inlineStr">
        <is>
          <t>Gastos Varios NT</t>
        </is>
      </c>
      <c r="H59" s="403" t="inlineStr">
        <is>
          <t>Ninguno</t>
        </is>
      </c>
      <c r="I59" s="417">
        <f>SUMIFS('Ing-Egr Marzo 2026'!F4:F103,'Ing-Egr Marzo 2026'!B4:B103,"Egreso NT",'Ing-Egr Marzo 2026'!C4:C103,G59)</f>
        <v/>
      </c>
      <c r="J59" s="459" t="n"/>
      <c r="K59" s="301" t="n"/>
      <c r="L59" s="301" t="n"/>
    </row>
    <row r="60" ht="15" customHeight="1" s="221">
      <c r="A60" s="410" t="inlineStr">
        <is>
          <t>Scribd</t>
        </is>
      </c>
      <c r="B60" s="410" t="inlineStr">
        <is>
          <t>Ninguno</t>
        </is>
      </c>
      <c r="C60" s="411" t="n"/>
      <c r="D60" s="463" t="n"/>
      <c r="E60" s="301" t="n"/>
      <c r="F60" s="301" t="n"/>
      <c r="G60" s="407" t="inlineStr">
        <is>
          <t>Reserva NT 1</t>
        </is>
      </c>
      <c r="H60" s="407" t="inlineStr">
        <is>
          <t>Ninguno</t>
        </is>
      </c>
      <c r="I60" s="408">
        <f>SUMIFS('Ing-Egr Marzo 2026'!F4:F103,'Ing-Egr Marzo 2026'!B4:B103,"Egreso NT",'Ing-Egr Marzo 2026'!C4:C103,G60)</f>
        <v/>
      </c>
      <c r="J60" s="461" t="n"/>
      <c r="K60" s="301" t="n"/>
      <c r="L60" s="301" t="n"/>
    </row>
    <row r="61" ht="15" customHeight="1" s="221">
      <c r="A61" s="405" t="inlineStr">
        <is>
          <t>Netflix</t>
        </is>
      </c>
      <c r="B61" s="405" t="inlineStr">
        <is>
          <t>Ninguno</t>
        </is>
      </c>
      <c r="C61" s="406" t="n"/>
      <c r="D61" s="460" t="n"/>
      <c r="E61" s="301" t="n"/>
      <c r="F61" s="301" t="n"/>
      <c r="G61" s="403" t="inlineStr">
        <is>
          <t>Reserva NT 2</t>
        </is>
      </c>
      <c r="H61" s="403" t="inlineStr">
        <is>
          <t>Ninguno</t>
        </is>
      </c>
      <c r="I61" s="404">
        <f>SUMIFS('Ing-Egr Marzo 2026'!F4:F103,'Ing-Egr Marzo 2026'!B4:B103,"Egreso NT",'Ing-Egr Marzo 2026'!C4:C103,G61)</f>
        <v/>
      </c>
      <c r="J61" s="459" t="n"/>
      <c r="K61" s="301" t="n"/>
      <c r="L61" s="301" t="n"/>
    </row>
    <row r="62" ht="15" customHeight="1" s="221">
      <c r="A62" s="413" t="inlineStr">
        <is>
          <t>► GASTOS VARIABLES 🔗</t>
        </is>
      </c>
      <c r="B62" s="256" t="n"/>
      <c r="C62" s="256" t="n"/>
      <c r="D62" s="353" t="n"/>
      <c r="E62" s="301" t="n"/>
      <c r="F62" s="301" t="n"/>
      <c r="G62" s="407" t="inlineStr">
        <is>
          <t>Reserva NT 3</t>
        </is>
      </c>
      <c r="H62" s="407" t="inlineStr">
        <is>
          <t>Ninguno</t>
        </is>
      </c>
      <c r="I62" s="408">
        <f>SUMIFS('Ing-Egr Marzo 2026'!F4:F103,'Ing-Egr Marzo 2026'!B4:B103,"Egreso NT",'Ing-Egr Marzo 2026'!C4:C103,G62)</f>
        <v/>
      </c>
      <c r="J62" s="461" t="n"/>
      <c r="K62" s="301" t="n"/>
      <c r="L62" s="301" t="n"/>
    </row>
    <row r="63" ht="15" customHeight="1" s="221">
      <c r="A63" s="410" t="inlineStr">
        <is>
          <t>Combustible</t>
        </is>
      </c>
      <c r="B63" s="410" t="inlineStr">
        <is>
          <t>Ninguno</t>
        </is>
      </c>
      <c r="C63" s="411">
        <f>SUMIFS('Ing-Egr Marzo 2026'!F4:F103,'Ing-Egr Marzo 2026'!B4:B103,"Egreso Familiar",'Ing-Egr Marzo 2026'!C4:C103,A63)</f>
        <v/>
      </c>
      <c r="D63" s="463" t="n"/>
      <c r="E63" s="301" t="n"/>
      <c r="F63" s="301" t="n"/>
      <c r="G63" s="301" t="n"/>
      <c r="H63" s="301" t="n"/>
      <c r="I63" s="301" t="n"/>
      <c r="J63" s="466" t="n"/>
      <c r="K63" s="301" t="n"/>
      <c r="L63" s="301" t="n"/>
    </row>
    <row r="64" ht="15" customHeight="1" s="221">
      <c r="A64" s="405" t="inlineStr">
        <is>
          <t>Supermercado</t>
        </is>
      </c>
      <c r="B64" s="405" t="inlineStr">
        <is>
          <t>Ninguno</t>
        </is>
      </c>
      <c r="C64" s="406">
        <f>SUMIFS('Ing-Egr Marzo 2026'!F4:F103,'Ing-Egr Marzo 2026'!B4:B103,"Egreso Familiar",'Ing-Egr Marzo 2026'!C4:C103,A64)</f>
        <v/>
      </c>
      <c r="D64" s="460" t="n"/>
      <c r="E64" s="301" t="n"/>
      <c r="F64" s="301" t="n"/>
      <c r="G64" s="418" t="inlineStr">
        <is>
          <t>TOTAL NT PAGADOS</t>
        </is>
      </c>
      <c r="I64" s="419">
        <f>SUMIF(H30:H62,"Pagado",I30:I62)</f>
        <v/>
      </c>
      <c r="J64" s="467" t="n"/>
      <c r="K64" s="301" t="n"/>
      <c r="L64" s="301" t="n"/>
    </row>
    <row r="65" ht="15" customHeight="1" s="221">
      <c r="A65" s="410" t="inlineStr">
        <is>
          <t>Farmacia</t>
        </is>
      </c>
      <c r="B65" s="410" t="inlineStr">
        <is>
          <t>Ninguno</t>
        </is>
      </c>
      <c r="C65" s="411">
        <f>SUMIFS('Ing-Egr Marzo 2026'!F4:F103,'Ing-Egr Marzo 2026'!B4:B103,"Egreso Familiar",'Ing-Egr Marzo 2026'!C4:C103,A65)</f>
        <v/>
      </c>
      <c r="D65" s="468">
        <f>C72</f>
        <v/>
      </c>
      <c r="E65" s="301" t="n"/>
      <c r="F65" s="301" t="n"/>
      <c r="G65" s="422" t="inlineStr">
        <is>
          <t>TOTAL NT PENDIENTES</t>
        </is>
      </c>
      <c r="I65" s="423">
        <f>SUMIF(H30:H62,"Pendiente",I30:I62)</f>
        <v/>
      </c>
      <c r="J65" s="469" t="n"/>
      <c r="K65" s="301" t="n"/>
      <c r="L65" s="301" t="n"/>
    </row>
    <row r="66" ht="15" customHeight="1" s="221">
      <c r="A66" s="405" t="inlineStr">
        <is>
          <t>Recreación</t>
        </is>
      </c>
      <c r="B66" s="405" t="inlineStr">
        <is>
          <t>Ninguno</t>
        </is>
      </c>
      <c r="C66" s="406">
        <f>SUMIFS('Ing-Egr Marzo 2026'!F4:F103,'Ing-Egr Marzo 2026'!B4:B103,"Egreso Familiar",'Ing-Egr Marzo 2026'!C4:C103,A66)</f>
        <v/>
      </c>
      <c r="D66" s="470">
        <f>C73</f>
        <v/>
      </c>
      <c r="E66" s="301" t="n"/>
      <c r="F66" s="301" t="n"/>
      <c r="G66" s="301" t="n"/>
      <c r="H66" s="301" t="n"/>
      <c r="I66" s="301" t="n"/>
      <c r="J66" s="466" t="n"/>
      <c r="K66" s="301" t="n"/>
      <c r="L66" s="301" t="n"/>
    </row>
    <row r="67" ht="15" customHeight="1" s="221">
      <c r="A67" s="410" t="inlineStr">
        <is>
          <t>Gastos Varios</t>
        </is>
      </c>
      <c r="B67" s="410" t="inlineStr">
        <is>
          <t>Ninguno</t>
        </is>
      </c>
      <c r="C67" s="411">
        <f>SUMIFS('Ing-Egr Marzo 2026'!F4:F103,'Ing-Egr Marzo 2026'!B4:B103,"Egreso Familiar",'Ing-Egr Marzo 2026'!C4:C103,A67)</f>
        <v/>
      </c>
      <c r="D67" s="463" t="n"/>
      <c r="E67" s="301" t="n"/>
      <c r="F67" s="301" t="n"/>
      <c r="G67" s="386" t="inlineStr">
        <is>
          <t>📊 SALUD FINANCIERA NEUROTEA</t>
        </is>
      </c>
      <c r="L67" s="301" t="n"/>
    </row>
    <row r="68" ht="15" customHeight="1" s="221">
      <c r="A68" s="405" t="inlineStr">
        <is>
          <t>Reserva Fam 1</t>
        </is>
      </c>
      <c r="B68" s="405" t="inlineStr">
        <is>
          <t>Ninguno</t>
        </is>
      </c>
      <c r="C68" s="406">
        <f>SUMIFS('Ing-Egr Marzo 2026'!F4:F103,'Ing-Egr Marzo 2026'!B4:B103,"Egreso Familiar",'Ing-Egr Marzo 2026'!C4:C103,A68)</f>
        <v/>
      </c>
      <c r="D68" s="460" t="n"/>
      <c r="E68" s="301" t="n"/>
      <c r="F68" s="301" t="n"/>
      <c r="G68" s="398" t="inlineStr">
        <is>
          <t>Concepto</t>
        </is>
      </c>
      <c r="H68" s="398" t="inlineStr">
        <is>
          <t>% Ideal</t>
        </is>
      </c>
      <c r="I68" s="426" t="inlineStr">
        <is>
          <t>Monto Ideal</t>
        </is>
      </c>
      <c r="J68" s="471" t="inlineStr">
        <is>
          <t>Monto Real</t>
        </is>
      </c>
      <c r="K68" s="398" t="inlineStr">
        <is>
          <t>Estado</t>
        </is>
      </c>
      <c r="L68" s="301" t="n"/>
    </row>
    <row r="69" ht="15" customHeight="1" s="221">
      <c r="A69" s="410" t="inlineStr">
        <is>
          <t>Reserva Fam 2</t>
        </is>
      </c>
      <c r="B69" s="410" t="inlineStr">
        <is>
          <t>Ninguno</t>
        </is>
      </c>
      <c r="C69" s="411">
        <f>SUMIFS('Ing-Egr Marzo 2026'!F4:F103,'Ing-Egr Marzo 2026'!B4:B103,"Egreso Familiar",'Ing-Egr Marzo 2026'!C4:C103,A69)</f>
        <v/>
      </c>
      <c r="D69" s="463" t="n"/>
      <c r="E69" s="301" t="n"/>
      <c r="F69" s="301" t="n"/>
      <c r="G69" s="301" t="inlineStr">
        <is>
          <t>Gastos Operativos (máx 75%)</t>
        </is>
      </c>
      <c r="H69" s="427" t="n">
        <v>0.75</v>
      </c>
      <c r="I69" s="328">
        <f>J12*0.75</f>
        <v/>
      </c>
      <c r="J69" s="466">
        <f>I64+I65</f>
        <v/>
      </c>
      <c r="K69" s="428">
        <f>IF(J12=0,"-",IF(J69/J12&lt;=0.75,"🟢 OK",IF(J69/J12&lt;=0.9,"🟡 PRECAUCIÓN","🔴 ALARMA")))</f>
        <v/>
      </c>
      <c r="L69" s="301" t="n"/>
    </row>
    <row r="70" ht="15" customHeight="1" s="221">
      <c r="A70" s="414" t="inlineStr">
        <is>
          <t>Reserva Fam 3</t>
        </is>
      </c>
      <c r="B70" s="414" t="inlineStr">
        <is>
          <t>Ninguno</t>
        </is>
      </c>
      <c r="C70" s="415">
        <f>SUMIFS('Ing-Egr Marzo 2026'!F4:F103,'Ing-Egr Marzo 2026'!B4:B103,"Egreso Familiar",'Ing-Egr Marzo 2026'!C4:C103,A70)</f>
        <v/>
      </c>
      <c r="D70" s="465" t="n"/>
      <c r="E70" s="301" t="n"/>
      <c r="F70" s="301" t="n"/>
      <c r="G70" s="301" t="inlineStr">
        <is>
          <t>Ganancia (10%)</t>
        </is>
      </c>
      <c r="H70" s="427" t="n">
        <v>0.1</v>
      </c>
      <c r="I70" s="328">
        <f>J12*0.1</f>
        <v/>
      </c>
      <c r="J70" s="466">
        <f>D22</f>
        <v/>
      </c>
      <c r="K70" s="429">
        <f>IF(J70&gt;=I70,"🟢","🔴")</f>
        <v/>
      </c>
      <c r="L70" s="301" t="n"/>
    </row>
    <row r="71" ht="15" customHeight="1" s="221">
      <c r="A71" s="301" t="n"/>
      <c r="B71" s="301" t="n"/>
      <c r="C71" s="301" t="n"/>
      <c r="D71" s="301" t="n"/>
      <c r="E71" s="301" t="n"/>
      <c r="F71" s="301" t="n"/>
      <c r="G71" s="301" t="inlineStr">
        <is>
          <t>Inversiones (5%)</t>
        </is>
      </c>
      <c r="H71" s="427" t="n">
        <v>0.05</v>
      </c>
      <c r="I71" s="328">
        <f>J12*0.05</f>
        <v/>
      </c>
      <c r="J71" s="328" t="n">
        <v>0</v>
      </c>
      <c r="K71" s="429">
        <f>IF(J71&gt;=I71,"🟢","🔴")</f>
        <v/>
      </c>
      <c r="L71" s="301" t="n"/>
    </row>
    <row r="72" ht="15" customHeight="1" s="221">
      <c r="A72" s="430" t="inlineStr">
        <is>
          <t>TOTAL FAM. PAGADOS</t>
        </is>
      </c>
      <c r="B72" s="353" t="n"/>
      <c r="C72" s="431">
        <f>SUMIF(B30:B70,"Pagado",C30:C70)</f>
        <v/>
      </c>
      <c r="D72" s="432" t="n"/>
      <c r="E72" s="301" t="n"/>
      <c r="F72" s="301" t="n"/>
      <c r="G72" s="301" t="inlineStr">
        <is>
          <t>Imprevistos (5%)</t>
        </is>
      </c>
      <c r="H72" s="427" t="n">
        <v>0.05</v>
      </c>
      <c r="I72" s="328">
        <f>J12*0.05</f>
        <v/>
      </c>
      <c r="J72" s="328" t="n">
        <v>0</v>
      </c>
      <c r="K72" s="429">
        <f>IF(J72&gt;=I72,"🟢","🔴")</f>
        <v/>
      </c>
      <c r="L72" s="301" t="n"/>
    </row>
    <row r="73" ht="15" customHeight="1" s="221">
      <c r="A73" s="433" t="inlineStr">
        <is>
          <t>TOTAL FAM. PENDIENTES</t>
        </is>
      </c>
      <c r="B73" s="353" t="n"/>
      <c r="C73" s="434">
        <f>SUMIF(B30:B70,"Pendiente",C30:C70)</f>
        <v/>
      </c>
      <c r="D73" s="435" t="n"/>
      <c r="E73" s="301" t="n"/>
      <c r="F73" s="301" t="n"/>
      <c r="G73" s="301" t="inlineStr">
        <is>
          <t>Desvío Imprevisto (5%)</t>
        </is>
      </c>
      <c r="H73" s="427" t="n">
        <v>0.05</v>
      </c>
      <c r="I73" s="328">
        <f>J12*0.05</f>
        <v/>
      </c>
      <c r="J73" s="328" t="n">
        <v>0</v>
      </c>
      <c r="K73" s="429">
        <f>IF(J73&gt;=I73,"🟢","🔴")</f>
        <v/>
      </c>
      <c r="L73" s="301" t="n"/>
    </row>
    <row r="74" ht="15" customHeight="1" s="221">
      <c r="A74" s="354" t="n"/>
      <c r="B74" s="354" t="n"/>
      <c r="C74" s="359" t="n"/>
      <c r="D74" s="360" t="n"/>
      <c r="E74" s="301" t="n"/>
      <c r="F74" s="301" t="n"/>
      <c r="G74" s="223" t="inlineStr">
        <is>
          <t>TOTAL</t>
        </is>
      </c>
      <c r="H74" s="436">
        <f>SUM(H69:H73)</f>
        <v/>
      </c>
      <c r="I74" s="437">
        <f>SUM(I69:I73)</f>
        <v/>
      </c>
      <c r="J74" s="437">
        <f>SUM(J69:J73)</f>
        <v/>
      </c>
      <c r="K74" s="301" t="n"/>
      <c r="L74" s="301" t="n"/>
    </row>
    <row r="75" ht="15" customHeight="1" s="221">
      <c r="A75" s="354" t="n"/>
      <c r="B75" s="354" t="n"/>
      <c r="C75" s="359" t="n"/>
      <c r="D75" s="360" t="n"/>
      <c r="E75" s="301" t="n"/>
      <c r="F75" s="301" t="n"/>
      <c r="G75" s="301" t="n"/>
      <c r="H75" s="301" t="n"/>
      <c r="I75" s="301" t="n"/>
      <c r="J75" s="301" t="n"/>
      <c r="K75" s="301" t="n"/>
      <c r="L75" s="301" t="n"/>
    </row>
    <row r="76" ht="15" customHeight="1" s="221">
      <c r="A76" s="354" t="n"/>
      <c r="B76" s="354" t="n"/>
      <c r="C76" s="359" t="n"/>
      <c r="D76" s="360" t="n"/>
      <c r="E76" s="301" t="n"/>
      <c r="F76" s="301" t="n"/>
      <c r="G76" s="223" t="inlineStr">
        <is>
          <t>% GASTOS SOBRE INGRESO:</t>
        </is>
      </c>
      <c r="H76" s="301" t="n"/>
      <c r="I76" s="301" t="n"/>
      <c r="J76" s="438">
        <f>IF(J12=0,0,J69/J12)</f>
        <v/>
      </c>
      <c r="K76" s="301" t="n"/>
      <c r="L76" s="301" t="n"/>
    </row>
    <row r="77" ht="15" customHeight="1" s="221">
      <c r="A77" s="354" t="n"/>
      <c r="B77" s="354" t="n"/>
      <c r="C77" s="359" t="n"/>
      <c r="D77" s="360" t="n"/>
      <c r="E77" s="301" t="n"/>
      <c r="F77" s="301" t="n"/>
      <c r="G77" s="223" t="inlineStr">
        <is>
          <t>DIAGNÓSTICO:</t>
        </is>
      </c>
      <c r="H77" s="301" t="n"/>
      <c r="I77" s="301" t="n"/>
      <c r="J77" s="439">
        <f>IF(J12=0,"Sin datos",IF(J69/J12&lt;=0.75,"🟢 CLÍNICA SANA",IF(J69/J12&lt;=0.9,"🟡 REVISAR GASTOS","🔴 SITUACIÓN CRÍTICA")))</f>
        <v/>
      </c>
      <c r="L77" s="301" t="n"/>
    </row>
    <row r="78" ht="15" customHeight="1" s="221">
      <c r="A78" s="354" t="n"/>
      <c r="B78" s="354" t="n"/>
      <c r="C78" s="359" t="n"/>
      <c r="D78" s="360" t="n"/>
      <c r="E78" s="301" t="n"/>
      <c r="F78" s="301" t="n"/>
      <c r="G78" s="301" t="n"/>
      <c r="H78" s="301" t="n"/>
      <c r="I78" s="301" t="n"/>
      <c r="J78" s="301" t="n"/>
      <c r="K78" s="301" t="n"/>
      <c r="L78" s="301" t="n"/>
    </row>
    <row r="79" ht="15" customHeight="1" s="221">
      <c r="A79" s="354" t="n"/>
      <c r="B79" s="354" t="n"/>
      <c r="C79" s="359" t="n"/>
      <c r="D79" s="360" t="n"/>
      <c r="E79" s="301" t="n"/>
      <c r="F79" s="301" t="n"/>
      <c r="G79" s="301" t="n"/>
      <c r="H79" s="301" t="n"/>
      <c r="I79" s="301" t="n"/>
      <c r="J79" s="301" t="n"/>
      <c r="K79" s="301" t="n"/>
      <c r="L79" s="301" t="n"/>
    </row>
    <row r="80" ht="15" customHeight="1" s="221">
      <c r="A80" s="301" t="n"/>
      <c r="B80" s="301" t="n"/>
      <c r="C80" s="328" t="n"/>
      <c r="D80" s="301" t="n"/>
      <c r="E80" s="301" t="n"/>
      <c r="F80" s="301" t="n"/>
      <c r="G80" s="301" t="n"/>
      <c r="H80" s="301" t="n"/>
      <c r="I80" s="301" t="n"/>
      <c r="J80" s="301" t="n"/>
      <c r="K80" s="301" t="n"/>
      <c r="L80" s="301" t="n"/>
    </row>
    <row r="81" ht="15.75" customHeight="1" s="221">
      <c r="A81" s="301" t="n"/>
      <c r="B81" s="301" t="n"/>
      <c r="C81" s="328" t="n"/>
      <c r="D81" s="301" t="n"/>
      <c r="E81" s="301" t="n"/>
      <c r="F81" s="301" t="n"/>
      <c r="G81" s="301" t="n"/>
      <c r="H81" s="301" t="n"/>
      <c r="I81" s="301" t="n"/>
      <c r="J81" s="301" t="n"/>
      <c r="K81" s="301" t="n"/>
      <c r="L81" s="301" t="n"/>
    </row>
    <row r="82" ht="15.75" customHeight="1" s="221">
      <c r="A82" s="301" t="n"/>
      <c r="B82" s="301" t="n"/>
      <c r="C82" s="328" t="n"/>
      <c r="D82" s="301" t="n"/>
      <c r="E82" s="301" t="n"/>
      <c r="F82" s="301" t="n"/>
      <c r="G82" s="301" t="n"/>
      <c r="H82" s="301" t="n"/>
      <c r="I82" s="301" t="n"/>
      <c r="J82" s="301" t="n"/>
      <c r="K82" s="301" t="n"/>
      <c r="L82" s="301" t="n"/>
    </row>
    <row r="83" ht="15" customHeight="1" s="221">
      <c r="A83" s="301" t="n"/>
      <c r="B83" s="301" t="n"/>
      <c r="C83" s="301" t="n"/>
      <c r="D83" s="301" t="n"/>
      <c r="E83" s="301" t="n"/>
      <c r="F83" s="301" t="n"/>
      <c r="G83" s="301" t="n"/>
      <c r="H83" s="301" t="n"/>
      <c r="I83" s="301" t="n"/>
      <c r="J83" s="301" t="n"/>
      <c r="K83" s="301" t="n"/>
      <c r="L83" s="301" t="n"/>
    </row>
    <row r="84" ht="15" customHeight="1" s="221">
      <c r="A84" s="301" t="n"/>
      <c r="B84" s="301" t="n"/>
      <c r="C84" s="301" t="n"/>
      <c r="D84" s="301" t="n"/>
      <c r="E84" s="301" t="n"/>
      <c r="F84" s="301" t="n"/>
      <c r="G84" s="301" t="n"/>
      <c r="H84" s="301" t="n"/>
      <c r="I84" s="301" t="n"/>
      <c r="J84" s="301" t="n"/>
      <c r="K84" s="301" t="n"/>
      <c r="L84" s="301" t="n"/>
    </row>
    <row r="85" ht="15" customHeight="1" s="221">
      <c r="A85" s="354" t="n"/>
      <c r="B85" s="354" t="n"/>
      <c r="C85" s="354" t="n"/>
      <c r="D85" s="354" t="n"/>
      <c r="E85" s="301" t="n"/>
      <c r="F85" s="301" t="n"/>
      <c r="G85" s="301" t="n"/>
      <c r="H85" s="301" t="n"/>
      <c r="I85" s="301" t="n"/>
      <c r="J85" s="301" t="n"/>
      <c r="K85" s="301" t="n"/>
      <c r="L85" s="301" t="n"/>
    </row>
    <row r="86" ht="15" customHeight="1" s="221">
      <c r="A86" s="301" t="n"/>
      <c r="B86" s="301" t="n"/>
      <c r="C86" s="301" t="n"/>
      <c r="D86" s="301" t="n"/>
      <c r="E86" s="301" t="n"/>
      <c r="F86" s="301" t="n"/>
      <c r="G86" s="301" t="n"/>
      <c r="H86" s="301" t="n"/>
      <c r="I86" s="301" t="n"/>
      <c r="J86" s="301" t="n"/>
      <c r="K86" s="301" t="n"/>
      <c r="L86" s="301" t="n"/>
    </row>
    <row r="87" ht="15" customHeight="1" s="221">
      <c r="A87" s="354" t="n"/>
      <c r="B87" s="354" t="n"/>
      <c r="C87" s="359" t="n"/>
      <c r="D87" s="360" t="n"/>
      <c r="E87" s="301" t="n"/>
      <c r="F87" s="301" t="n"/>
      <c r="G87" s="301" t="n"/>
      <c r="H87" s="301" t="n"/>
      <c r="I87" s="301" t="n"/>
      <c r="J87" s="301" t="n"/>
      <c r="K87" s="301" t="n"/>
      <c r="L87" s="301" t="n"/>
    </row>
    <row r="88" ht="15" customHeight="1" s="221">
      <c r="A88" s="354" t="n"/>
      <c r="B88" s="354" t="n"/>
      <c r="C88" s="359" t="n"/>
      <c r="D88" s="360" t="n"/>
      <c r="E88" s="301" t="n"/>
      <c r="F88" s="301" t="n"/>
      <c r="G88" s="301" t="n"/>
      <c r="H88" s="301" t="n"/>
      <c r="I88" s="301" t="n"/>
      <c r="J88" s="301" t="n"/>
      <c r="K88" s="301" t="n"/>
      <c r="L88" s="301" t="n"/>
    </row>
    <row r="89" ht="15" customHeight="1" s="221">
      <c r="A89" s="354" t="n"/>
      <c r="B89" s="354" t="n"/>
      <c r="C89" s="359" t="n"/>
      <c r="D89" s="360" t="n"/>
      <c r="E89" s="301" t="n"/>
      <c r="F89" s="301" t="n"/>
      <c r="G89" s="301" t="n"/>
      <c r="H89" s="301" t="n"/>
      <c r="I89" s="301" t="n"/>
      <c r="J89" s="301" t="n"/>
      <c r="K89" s="301" t="n"/>
      <c r="L89" s="301" t="n"/>
    </row>
    <row r="90" ht="15" customHeight="1" s="221">
      <c r="A90" s="354" t="n"/>
      <c r="B90" s="354" t="n"/>
      <c r="C90" s="359" t="n"/>
      <c r="D90" s="360" t="n"/>
      <c r="E90" s="301" t="n"/>
      <c r="F90" s="301" t="n"/>
      <c r="G90" s="301" t="n"/>
      <c r="H90" s="301" t="n"/>
      <c r="I90" s="301" t="n"/>
      <c r="J90" s="301" t="n"/>
      <c r="K90" s="301" t="n"/>
      <c r="L90" s="301" t="n"/>
    </row>
    <row r="91" ht="15" customHeight="1" s="221">
      <c r="A91" s="301" t="n"/>
      <c r="B91" s="301" t="n"/>
      <c r="C91" s="328" t="n"/>
      <c r="D91" s="301" t="n"/>
      <c r="E91" s="301" t="n"/>
      <c r="F91" s="301" t="n"/>
      <c r="G91" s="301" t="n"/>
      <c r="H91" s="301" t="n"/>
      <c r="I91" s="301" t="n"/>
      <c r="J91" s="301" t="n"/>
      <c r="K91" s="301" t="n"/>
      <c r="L91" s="301" t="n"/>
    </row>
    <row r="92" ht="15" customHeight="1" s="221">
      <c r="A92" s="301" t="n"/>
      <c r="B92" s="301" t="n"/>
      <c r="C92" s="301" t="n"/>
      <c r="D92" s="301" t="n"/>
      <c r="E92" s="301" t="n"/>
      <c r="F92" s="301" t="n"/>
      <c r="G92" s="301" t="n"/>
      <c r="H92" s="301" t="n"/>
      <c r="I92" s="301" t="n"/>
      <c r="J92" s="301" t="n"/>
      <c r="K92" s="301" t="n"/>
      <c r="L92" s="301" t="n"/>
    </row>
    <row r="93" ht="15" customHeight="1" s="221">
      <c r="A93" s="354" t="n"/>
      <c r="B93" s="354" t="n"/>
      <c r="C93" s="359" t="n"/>
      <c r="D93" s="360" t="n"/>
      <c r="E93" s="301" t="n"/>
      <c r="F93" s="301" t="n"/>
      <c r="G93" s="301" t="n"/>
      <c r="H93" s="301" t="n"/>
      <c r="I93" s="301" t="n"/>
      <c r="J93" s="301" t="n"/>
      <c r="K93" s="301" t="n"/>
      <c r="L93" s="301" t="n"/>
    </row>
    <row r="94" ht="15" customHeight="1" s="221">
      <c r="A94" s="354" t="n"/>
      <c r="B94" s="354" t="n"/>
      <c r="C94" s="359" t="n"/>
      <c r="D94" s="360" t="n"/>
      <c r="E94" s="301" t="n"/>
      <c r="F94" s="301" t="n"/>
      <c r="G94" s="301" t="n"/>
      <c r="H94" s="301" t="n"/>
      <c r="I94" s="301" t="n"/>
      <c r="J94" s="301" t="n"/>
      <c r="K94" s="301" t="n"/>
      <c r="L94" s="301" t="n"/>
    </row>
    <row r="95" ht="15" customHeight="1" s="221">
      <c r="A95" s="354" t="n"/>
      <c r="B95" s="354" t="n"/>
      <c r="C95" s="359" t="n"/>
      <c r="D95" s="360" t="n"/>
      <c r="E95" s="301" t="n"/>
      <c r="F95" s="301" t="n"/>
      <c r="G95" s="301" t="n"/>
      <c r="H95" s="301" t="n"/>
      <c r="I95" s="301" t="n"/>
      <c r="J95" s="301" t="n"/>
      <c r="K95" s="301" t="n"/>
      <c r="L95" s="301" t="n"/>
    </row>
    <row r="96" ht="15" customHeight="1" s="221">
      <c r="A96" s="354" t="n"/>
      <c r="B96" s="354" t="n"/>
      <c r="C96" s="359" t="n"/>
      <c r="D96" s="360" t="n"/>
      <c r="E96" s="301" t="n"/>
      <c r="F96" s="301" t="n"/>
      <c r="G96" s="301" t="n"/>
      <c r="H96" s="301" t="n"/>
      <c r="I96" s="301" t="n"/>
      <c r="J96" s="301" t="n"/>
      <c r="K96" s="301" t="n"/>
      <c r="L96" s="301" t="n"/>
    </row>
    <row r="97" ht="15" customHeight="1" s="221">
      <c r="A97" s="354" t="n"/>
      <c r="B97" s="354" t="n"/>
      <c r="C97" s="359" t="n"/>
      <c r="D97" s="360" t="n"/>
      <c r="E97" s="301" t="n"/>
      <c r="F97" s="301" t="n"/>
      <c r="G97" s="301" t="n"/>
      <c r="H97" s="301" t="n"/>
      <c r="I97" s="301" t="n"/>
      <c r="J97" s="301" t="n"/>
      <c r="K97" s="301" t="n"/>
      <c r="L97" s="301" t="n"/>
    </row>
    <row r="98" ht="15" customHeight="1" s="221">
      <c r="A98" s="354" t="n"/>
      <c r="B98" s="354" t="n"/>
      <c r="C98" s="359" t="n"/>
      <c r="D98" s="360" t="n"/>
      <c r="E98" s="301" t="n"/>
      <c r="F98" s="301" t="n"/>
      <c r="G98" s="301" t="n"/>
      <c r="H98" s="301" t="n"/>
      <c r="I98" s="301" t="n"/>
      <c r="J98" s="301" t="n"/>
      <c r="K98" s="301" t="n"/>
      <c r="L98" s="301" t="n"/>
    </row>
    <row r="99" ht="15" customHeight="1" s="221">
      <c r="A99" s="301" t="n"/>
      <c r="B99" s="301" t="n"/>
      <c r="C99" s="328" t="n"/>
      <c r="D99" s="301" t="n"/>
      <c r="E99" s="301" t="n"/>
      <c r="F99" s="301" t="n"/>
      <c r="G99" s="301" t="n"/>
      <c r="H99" s="301" t="n"/>
      <c r="I99" s="301" t="n"/>
      <c r="J99" s="301" t="n"/>
      <c r="K99" s="301" t="n"/>
      <c r="L99" s="301" t="n"/>
    </row>
    <row r="100" ht="15" customHeight="1" s="221">
      <c r="A100" s="301" t="n"/>
      <c r="B100" s="301" t="n"/>
      <c r="C100" s="301" t="n"/>
      <c r="D100" s="301" t="n"/>
      <c r="E100" s="301" t="n"/>
      <c r="F100" s="301" t="n"/>
      <c r="G100" s="301" t="n"/>
      <c r="H100" s="301" t="n"/>
      <c r="I100" s="301" t="n"/>
      <c r="J100" s="301" t="n"/>
      <c r="K100" s="301" t="n"/>
      <c r="L100" s="301" t="n"/>
    </row>
    <row r="101" ht="15" customHeight="1" s="221">
      <c r="A101" s="354" t="n"/>
      <c r="B101" s="354" t="n"/>
      <c r="C101" s="359" t="n"/>
      <c r="D101" s="360" t="n"/>
      <c r="E101" s="301" t="n"/>
      <c r="F101" s="301" t="n"/>
      <c r="G101" s="301" t="n"/>
      <c r="H101" s="301" t="n"/>
      <c r="I101" s="301" t="n"/>
      <c r="J101" s="301" t="n"/>
      <c r="K101" s="301" t="n"/>
      <c r="L101" s="301" t="n"/>
    </row>
    <row r="102" ht="15" customHeight="1" s="221">
      <c r="A102" s="354" t="n"/>
      <c r="B102" s="354" t="n"/>
      <c r="C102" s="359" t="n"/>
      <c r="D102" s="360" t="n"/>
      <c r="E102" s="301" t="n"/>
      <c r="F102" s="301" t="n"/>
      <c r="G102" s="301" t="n"/>
      <c r="H102" s="301" t="n"/>
      <c r="I102" s="301" t="n"/>
      <c r="J102" s="301" t="n"/>
      <c r="K102" s="301" t="n"/>
      <c r="L102" s="301" t="n"/>
    </row>
    <row r="103" ht="15" customHeight="1" s="221">
      <c r="A103" s="354" t="n"/>
      <c r="B103" s="354" t="n"/>
      <c r="C103" s="359" t="n"/>
      <c r="D103" s="360" t="n"/>
      <c r="E103" s="301" t="n"/>
      <c r="F103" s="301" t="n"/>
      <c r="G103" s="301" t="n"/>
      <c r="H103" s="301" t="n"/>
      <c r="I103" s="301" t="n"/>
      <c r="J103" s="301" t="n"/>
      <c r="K103" s="301" t="n"/>
      <c r="L103" s="301" t="n"/>
    </row>
    <row r="104" ht="15" customHeight="1" s="221">
      <c r="A104" s="354" t="n"/>
      <c r="B104" s="354" t="n"/>
      <c r="C104" s="359" t="n"/>
      <c r="D104" s="360" t="n"/>
      <c r="E104" s="301" t="n"/>
      <c r="F104" s="301" t="n"/>
      <c r="G104" s="301" t="n"/>
      <c r="H104" s="301" t="n"/>
      <c r="I104" s="301" t="n"/>
      <c r="J104" s="301" t="n"/>
      <c r="K104" s="301" t="n"/>
      <c r="L104" s="301" t="n"/>
    </row>
    <row r="105" ht="15" customHeight="1" s="221">
      <c r="A105" s="354" t="n"/>
      <c r="B105" s="354" t="n"/>
      <c r="C105" s="359" t="n"/>
      <c r="D105" s="360" t="n"/>
      <c r="E105" s="301" t="n"/>
      <c r="F105" s="301" t="n"/>
      <c r="G105" s="301" t="n"/>
      <c r="H105" s="301" t="n"/>
      <c r="I105" s="301" t="n"/>
      <c r="J105" s="301" t="n"/>
      <c r="K105" s="301" t="n"/>
      <c r="L105" s="301" t="n"/>
    </row>
    <row r="106" ht="15" customHeight="1" s="221">
      <c r="A106" s="301" t="n"/>
      <c r="B106" s="301" t="n"/>
      <c r="C106" s="328" t="n"/>
      <c r="D106" s="301" t="n"/>
      <c r="E106" s="301" t="n"/>
      <c r="F106" s="301" t="n"/>
      <c r="G106" s="301" t="n"/>
      <c r="H106" s="301" t="n"/>
      <c r="I106" s="301" t="n"/>
      <c r="J106" s="301" t="n"/>
      <c r="K106" s="301" t="n"/>
      <c r="L106" s="301" t="n"/>
    </row>
    <row r="107" ht="15" customHeight="1" s="221">
      <c r="A107" s="301" t="n"/>
      <c r="B107" s="301" t="n"/>
      <c r="C107" s="301" t="n"/>
      <c r="D107" s="301" t="n"/>
      <c r="E107" s="301" t="n"/>
      <c r="F107" s="301" t="n"/>
      <c r="G107" s="301" t="n"/>
      <c r="H107" s="301" t="n"/>
      <c r="I107" s="301" t="n"/>
      <c r="J107" s="301" t="n"/>
      <c r="K107" s="301" t="n"/>
      <c r="L107" s="301" t="n"/>
    </row>
    <row r="108" ht="15" customHeight="1" s="221">
      <c r="A108" s="354" t="n"/>
      <c r="B108" s="354" t="n"/>
      <c r="C108" s="359" t="n"/>
      <c r="D108" s="360" t="n"/>
      <c r="E108" s="301" t="n"/>
      <c r="F108" s="301" t="n"/>
      <c r="G108" s="301" t="n"/>
      <c r="H108" s="301" t="n"/>
      <c r="I108" s="301" t="n"/>
      <c r="J108" s="301" t="n"/>
      <c r="K108" s="301" t="n"/>
      <c r="L108" s="301" t="n"/>
    </row>
    <row r="109" ht="15" customHeight="1" s="221">
      <c r="A109" s="354" t="n"/>
      <c r="B109" s="354" t="n"/>
      <c r="C109" s="359" t="n"/>
      <c r="D109" s="360" t="n"/>
      <c r="E109" s="301" t="n"/>
      <c r="F109" s="301" t="n"/>
      <c r="G109" s="301" t="n"/>
      <c r="H109" s="301" t="n"/>
      <c r="I109" s="301" t="n"/>
      <c r="J109" s="301" t="n"/>
      <c r="K109" s="301" t="n"/>
      <c r="L109" s="301" t="n"/>
    </row>
    <row r="110" ht="15" customHeight="1" s="221">
      <c r="A110" s="301" t="n"/>
      <c r="B110" s="301" t="n"/>
      <c r="C110" s="328" t="n"/>
      <c r="D110" s="301" t="n"/>
      <c r="E110" s="301" t="n"/>
      <c r="F110" s="301" t="n"/>
      <c r="G110" s="301" t="n"/>
      <c r="H110" s="301" t="n"/>
      <c r="I110" s="301" t="n"/>
      <c r="J110" s="301" t="n"/>
      <c r="K110" s="301" t="n"/>
      <c r="L110" s="301" t="n"/>
    </row>
    <row r="111" ht="15" customHeight="1" s="221">
      <c r="A111" s="301" t="n"/>
      <c r="B111" s="301" t="n"/>
      <c r="C111" s="301" t="n"/>
      <c r="D111" s="301" t="n"/>
      <c r="E111" s="301" t="n"/>
      <c r="F111" s="301" t="n"/>
      <c r="G111" s="301" t="n"/>
      <c r="H111" s="301" t="n"/>
      <c r="I111" s="301" t="n"/>
      <c r="J111" s="301" t="n"/>
      <c r="K111" s="301" t="n"/>
      <c r="L111" s="301" t="n"/>
    </row>
    <row r="112" ht="15" customHeight="1" s="221">
      <c r="A112" s="354" t="n"/>
      <c r="B112" s="354" t="n"/>
      <c r="C112" s="359" t="n"/>
      <c r="D112" s="360" t="n"/>
      <c r="E112" s="301" t="n"/>
      <c r="F112" s="301" t="n"/>
      <c r="G112" s="301" t="n"/>
      <c r="H112" s="301" t="n"/>
      <c r="I112" s="301" t="n"/>
      <c r="J112" s="301" t="n"/>
      <c r="K112" s="301" t="n"/>
      <c r="L112" s="301" t="n"/>
    </row>
    <row r="113" ht="15" customHeight="1" s="221">
      <c r="A113" s="354" t="n"/>
      <c r="B113" s="354" t="n"/>
      <c r="C113" s="359" t="n"/>
      <c r="D113" s="360" t="n"/>
      <c r="E113" s="301" t="n"/>
      <c r="F113" s="301" t="n"/>
      <c r="G113" s="301" t="n"/>
      <c r="H113" s="301" t="n"/>
      <c r="I113" s="301" t="n"/>
      <c r="J113" s="301" t="n"/>
      <c r="K113" s="301" t="n"/>
      <c r="L113" s="301" t="n"/>
    </row>
    <row r="114" ht="15" customHeight="1" s="221">
      <c r="A114" s="354" t="n"/>
      <c r="B114" s="354" t="n"/>
      <c r="C114" s="359" t="n"/>
      <c r="D114" s="360" t="n"/>
      <c r="E114" s="301" t="n"/>
      <c r="F114" s="301" t="n"/>
      <c r="G114" s="301" t="n"/>
      <c r="H114" s="301" t="n"/>
      <c r="I114" s="301" t="n"/>
      <c r="J114" s="301" t="n"/>
      <c r="K114" s="301" t="n"/>
      <c r="L114" s="301" t="n"/>
    </row>
    <row r="115" ht="15" customHeight="1" s="221">
      <c r="A115" s="354" t="n"/>
      <c r="B115" s="354" t="n"/>
      <c r="C115" s="359" t="n"/>
      <c r="D115" s="360" t="n"/>
      <c r="E115" s="301" t="n"/>
      <c r="F115" s="301" t="n"/>
      <c r="G115" s="301" t="n"/>
      <c r="H115" s="301" t="n"/>
      <c r="I115" s="301" t="n"/>
      <c r="J115" s="301" t="n"/>
      <c r="K115" s="301" t="n"/>
      <c r="L115" s="301" t="n"/>
    </row>
    <row r="116" ht="15" customHeight="1" s="221">
      <c r="A116" s="354" t="n"/>
      <c r="B116" s="354" t="n"/>
      <c r="C116" s="359" t="n"/>
      <c r="D116" s="360" t="n"/>
      <c r="E116" s="301" t="n"/>
      <c r="F116" s="301" t="n"/>
      <c r="G116" s="301" t="n"/>
      <c r="H116" s="301" t="n"/>
      <c r="I116" s="301" t="n"/>
      <c r="J116" s="301" t="n"/>
      <c r="K116" s="301" t="n"/>
      <c r="L116" s="301" t="n"/>
    </row>
    <row r="117" ht="15" customHeight="1" s="221">
      <c r="A117" s="354" t="n"/>
      <c r="B117" s="354" t="n"/>
      <c r="C117" s="359" t="n"/>
      <c r="D117" s="360" t="n"/>
      <c r="E117" s="301" t="n"/>
      <c r="F117" s="301" t="n"/>
      <c r="G117" s="301" t="n"/>
      <c r="H117" s="301" t="n"/>
      <c r="I117" s="301" t="n"/>
      <c r="J117" s="301" t="n"/>
      <c r="K117" s="301" t="n"/>
      <c r="L117" s="301" t="n"/>
    </row>
    <row r="118" ht="15" customHeight="1" s="221">
      <c r="A118" s="354" t="n"/>
      <c r="B118" s="354" t="n"/>
      <c r="C118" s="359" t="n"/>
      <c r="D118" s="360" t="n"/>
      <c r="E118" s="301" t="n"/>
      <c r="F118" s="301" t="n"/>
      <c r="G118" s="301" t="n"/>
      <c r="H118" s="301" t="n"/>
      <c r="I118" s="301" t="n"/>
      <c r="J118" s="301" t="n"/>
      <c r="K118" s="301" t="n"/>
      <c r="L118" s="301" t="n"/>
    </row>
    <row r="119" ht="15" customHeight="1" s="221">
      <c r="A119" s="354" t="n"/>
      <c r="B119" s="354" t="n"/>
      <c r="C119" s="359" t="n"/>
      <c r="D119" s="360" t="n"/>
      <c r="E119" s="301" t="n"/>
      <c r="F119" s="301" t="n"/>
      <c r="G119" s="301" t="n"/>
      <c r="H119" s="301" t="n"/>
      <c r="I119" s="301" t="n"/>
      <c r="J119" s="301" t="n"/>
      <c r="K119" s="301" t="n"/>
      <c r="L119" s="301" t="n"/>
    </row>
    <row r="120" ht="15" customHeight="1" s="221">
      <c r="A120" s="354" t="n"/>
      <c r="B120" s="354" t="n"/>
      <c r="C120" s="359" t="n"/>
      <c r="D120" s="360" t="n"/>
      <c r="E120" s="301" t="n"/>
      <c r="F120" s="301" t="n"/>
      <c r="G120" s="301" t="n"/>
      <c r="H120" s="301" t="n"/>
      <c r="I120" s="301" t="n"/>
      <c r="J120" s="301" t="n"/>
      <c r="K120" s="301" t="n"/>
      <c r="L120" s="301" t="n"/>
    </row>
    <row r="121" ht="15" customHeight="1" s="221">
      <c r="A121" s="301" t="n"/>
      <c r="B121" s="301" t="n"/>
      <c r="C121" s="328" t="n"/>
      <c r="D121" s="301" t="n"/>
      <c r="E121" s="301" t="n"/>
      <c r="F121" s="301" t="n"/>
      <c r="G121" s="301" t="n"/>
      <c r="H121" s="301" t="n"/>
      <c r="I121" s="301" t="n"/>
      <c r="J121" s="301" t="n"/>
      <c r="K121" s="301" t="n"/>
      <c r="L121" s="301" t="n"/>
    </row>
    <row r="122" ht="15.75" customHeight="1" s="221">
      <c r="A122" s="301" t="n"/>
      <c r="B122" s="301" t="n"/>
      <c r="C122" s="328" t="n"/>
      <c r="D122" s="301" t="n"/>
      <c r="E122" s="301" t="n"/>
      <c r="F122" s="301" t="n"/>
      <c r="G122" s="301" t="n"/>
      <c r="H122" s="301" t="n"/>
      <c r="I122" s="301" t="n"/>
      <c r="J122" s="301" t="n"/>
      <c r="K122" s="301" t="n"/>
      <c r="L122" s="301" t="n"/>
    </row>
    <row r="123" ht="15.75" customHeight="1" s="221">
      <c r="A123" s="301" t="n"/>
      <c r="B123" s="301" t="n"/>
      <c r="C123" s="328" t="n"/>
      <c r="D123" s="301" t="n"/>
      <c r="E123" s="301" t="n"/>
      <c r="F123" s="301" t="n"/>
      <c r="G123" s="301" t="n"/>
      <c r="H123" s="301" t="n"/>
      <c r="I123" s="301" t="n"/>
      <c r="J123" s="301" t="n"/>
      <c r="K123" s="301" t="n"/>
      <c r="L123" s="301" t="n"/>
    </row>
    <row r="124" ht="15" customHeight="1" s="221">
      <c r="A124" s="301" t="n"/>
      <c r="B124" s="301" t="n"/>
      <c r="C124" s="301" t="n"/>
      <c r="D124" s="301" t="n"/>
      <c r="E124" s="301" t="n"/>
      <c r="F124" s="301" t="n"/>
      <c r="G124" s="301" t="n"/>
      <c r="H124" s="301" t="n"/>
      <c r="I124" s="301" t="n"/>
      <c r="J124" s="301" t="n"/>
      <c r="K124" s="301" t="n"/>
      <c r="L124" s="301" t="n"/>
    </row>
    <row r="125" ht="15" customHeight="1" s="221">
      <c r="A125" s="301" t="n"/>
      <c r="B125" s="301" t="n"/>
      <c r="C125" s="301" t="n"/>
      <c r="D125" s="301" t="n"/>
      <c r="E125" s="301" t="n"/>
      <c r="F125" s="301" t="n"/>
      <c r="G125" s="301" t="n"/>
      <c r="H125" s="301" t="n"/>
      <c r="I125" s="301" t="n"/>
      <c r="J125" s="301" t="n"/>
      <c r="K125" s="301" t="n"/>
      <c r="L125" s="301" t="n"/>
    </row>
    <row r="126" ht="15" customHeight="1" s="221">
      <c r="A126" s="301" t="n"/>
      <c r="B126" s="301" t="n"/>
      <c r="C126" s="301" t="n"/>
      <c r="D126" s="301" t="n"/>
      <c r="E126" s="301" t="n"/>
      <c r="F126" s="301" t="n"/>
      <c r="G126" s="301" t="n"/>
      <c r="H126" s="301" t="n"/>
      <c r="I126" s="301" t="n"/>
      <c r="J126" s="301" t="n"/>
      <c r="K126" s="301" t="n"/>
      <c r="L126" s="301" t="n"/>
    </row>
    <row r="127" ht="15" customHeight="1" s="221">
      <c r="A127" s="301" t="n"/>
      <c r="B127" s="301" t="n"/>
      <c r="C127" s="301" t="n"/>
      <c r="D127" s="301" t="n"/>
      <c r="E127" s="301" t="n"/>
      <c r="F127" s="301" t="n"/>
      <c r="G127" s="301" t="n"/>
      <c r="H127" s="301" t="n"/>
      <c r="I127" s="301" t="n"/>
      <c r="J127" s="301" t="n"/>
      <c r="K127" s="301" t="n"/>
      <c r="L127" s="301" t="n"/>
    </row>
    <row r="128" ht="15" customHeight="1" s="221">
      <c r="A128" s="301" t="n"/>
      <c r="B128" s="301" t="n"/>
      <c r="C128" s="301" t="n"/>
      <c r="D128" s="301" t="n"/>
      <c r="E128" s="301" t="n"/>
      <c r="F128" s="301" t="n"/>
      <c r="G128" s="301" t="n"/>
      <c r="H128" s="301" t="n"/>
      <c r="I128" s="301" t="n"/>
      <c r="J128" s="301" t="n"/>
      <c r="K128" s="301" t="n"/>
      <c r="L128" s="301" t="n"/>
    </row>
    <row r="129" ht="15" customHeight="1" s="221">
      <c r="A129" s="301" t="n"/>
      <c r="B129" s="301" t="n"/>
      <c r="C129" s="301" t="n"/>
      <c r="D129" s="301" t="n"/>
      <c r="E129" s="301" t="n"/>
      <c r="F129" s="301" t="n"/>
      <c r="G129" s="301" t="n"/>
      <c r="H129" s="301" t="n"/>
      <c r="I129" s="301" t="n"/>
      <c r="J129" s="301" t="n"/>
      <c r="K129" s="301" t="n"/>
      <c r="L129" s="301" t="n"/>
    </row>
    <row r="130" ht="15" customHeight="1" s="221">
      <c r="A130" s="301" t="n"/>
      <c r="B130" s="301" t="n"/>
      <c r="C130" s="301" t="n"/>
      <c r="D130" s="301" t="n"/>
      <c r="E130" s="301" t="n"/>
      <c r="F130" s="301" t="n"/>
      <c r="G130" s="301" t="n"/>
      <c r="H130" s="301" t="n"/>
      <c r="I130" s="301" t="n"/>
      <c r="J130" s="301" t="n"/>
      <c r="K130" s="301" t="n"/>
      <c r="L130" s="301" t="n"/>
    </row>
    <row r="131" ht="15" customHeight="1" s="221">
      <c r="A131" s="301" t="n"/>
      <c r="B131" s="301" t="n"/>
      <c r="C131" s="301" t="n"/>
      <c r="D131" s="301" t="n"/>
      <c r="E131" s="301" t="n"/>
      <c r="F131" s="301" t="n"/>
      <c r="G131" s="301" t="n"/>
      <c r="H131" s="301" t="n"/>
      <c r="I131" s="301" t="n"/>
      <c r="J131" s="301" t="n"/>
      <c r="K131" s="301" t="n"/>
      <c r="L131" s="301" t="n"/>
    </row>
    <row r="132" ht="15" customHeight="1" s="221">
      <c r="A132" s="301" t="n"/>
      <c r="B132" s="301" t="n"/>
      <c r="C132" s="301" t="n"/>
      <c r="D132" s="301" t="n"/>
      <c r="E132" s="301" t="n"/>
      <c r="F132" s="301" t="n"/>
      <c r="G132" s="301" t="n"/>
      <c r="H132" s="301" t="n"/>
      <c r="I132" s="301" t="n"/>
      <c r="J132" s="301" t="n"/>
      <c r="K132" s="301" t="n"/>
      <c r="L132" s="301" t="n"/>
    </row>
    <row r="133" ht="15" customHeight="1" s="221">
      <c r="A133" s="301" t="n"/>
      <c r="B133" s="301" t="n"/>
      <c r="C133" s="301" t="n"/>
      <c r="D133" s="301" t="n"/>
      <c r="E133" s="301" t="n"/>
      <c r="F133" s="301" t="n"/>
      <c r="G133" s="301" t="n"/>
      <c r="H133" s="301" t="n"/>
      <c r="I133" s="301" t="n"/>
      <c r="J133" s="301" t="n"/>
      <c r="K133" s="301" t="n"/>
      <c r="L133" s="301" t="n"/>
    </row>
    <row r="134" ht="15" customHeight="1" s="221">
      <c r="A134" s="301" t="n"/>
      <c r="B134" s="301" t="n"/>
      <c r="C134" s="301" t="n"/>
      <c r="D134" s="301" t="n"/>
      <c r="E134" s="301" t="n"/>
      <c r="F134" s="301" t="n"/>
      <c r="G134" s="301" t="n"/>
      <c r="H134" s="301" t="n"/>
      <c r="I134" s="301" t="n"/>
      <c r="J134" s="301" t="n"/>
      <c r="K134" s="301" t="n"/>
      <c r="L134" s="301" t="n"/>
    </row>
    <row r="135" ht="15" customHeight="1" s="221">
      <c r="A135" s="301" t="n"/>
      <c r="B135" s="301" t="n"/>
      <c r="C135" s="301" t="n"/>
      <c r="D135" s="301" t="n"/>
      <c r="E135" s="301" t="n"/>
      <c r="F135" s="301" t="n"/>
      <c r="G135" s="301" t="n"/>
      <c r="H135" s="301" t="n"/>
      <c r="I135" s="301" t="n"/>
      <c r="J135" s="301" t="n"/>
      <c r="K135" s="301" t="n"/>
      <c r="L135" s="301" t="n"/>
    </row>
    <row r="136" ht="15" customHeight="1" s="221">
      <c r="A136" s="301" t="n"/>
      <c r="B136" s="301" t="n"/>
      <c r="C136" s="301" t="n"/>
      <c r="D136" s="301" t="n"/>
      <c r="E136" s="301" t="n"/>
      <c r="F136" s="301" t="n"/>
      <c r="G136" s="301" t="n"/>
      <c r="H136" s="301" t="n"/>
      <c r="I136" s="301" t="n"/>
      <c r="J136" s="301" t="n"/>
      <c r="K136" s="301" t="n"/>
      <c r="L136" s="301" t="n"/>
    </row>
    <row r="137" ht="15" customHeight="1" s="221">
      <c r="A137" s="301" t="n"/>
      <c r="B137" s="301" t="n"/>
      <c r="C137" s="301" t="n"/>
      <c r="D137" s="301" t="n"/>
      <c r="E137" s="301" t="n"/>
      <c r="F137" s="301" t="n"/>
      <c r="G137" s="301" t="n"/>
      <c r="H137" s="301" t="n"/>
      <c r="I137" s="301" t="n"/>
      <c r="J137" s="301" t="n"/>
      <c r="K137" s="301" t="n"/>
      <c r="L137" s="301" t="n"/>
    </row>
    <row r="138" ht="15" customHeight="1" s="221">
      <c r="A138" s="301" t="n"/>
      <c r="B138" s="301" t="n"/>
      <c r="C138" s="301" t="n"/>
      <c r="D138" s="301" t="n"/>
      <c r="E138" s="301" t="n"/>
      <c r="F138" s="301" t="n"/>
      <c r="G138" s="301" t="n"/>
      <c r="H138" s="301" t="n"/>
      <c r="I138" s="301" t="n"/>
      <c r="J138" s="301" t="n"/>
      <c r="K138" s="301" t="n"/>
      <c r="L138" s="301" t="n"/>
    </row>
    <row r="139" ht="15" customHeight="1" s="221">
      <c r="A139" s="301" t="n"/>
      <c r="B139" s="301" t="n"/>
      <c r="C139" s="301" t="n"/>
      <c r="D139" s="301" t="n"/>
      <c r="E139" s="301" t="n"/>
      <c r="F139" s="301" t="n"/>
      <c r="G139" s="301" t="n"/>
      <c r="H139" s="301" t="n"/>
      <c r="I139" s="301" t="n"/>
      <c r="J139" s="301" t="n"/>
      <c r="K139" s="301" t="n"/>
      <c r="L139" s="301" t="n"/>
    </row>
    <row r="140" ht="15" customHeight="1" s="221">
      <c r="A140" s="301" t="n"/>
      <c r="B140" s="301" t="n"/>
      <c r="C140" s="301" t="n"/>
      <c r="D140" s="301" t="n"/>
      <c r="E140" s="301" t="n"/>
      <c r="F140" s="301" t="n"/>
      <c r="G140" s="301" t="n"/>
      <c r="H140" s="301" t="n"/>
      <c r="I140" s="301" t="n"/>
      <c r="J140" s="301" t="n"/>
      <c r="K140" s="301" t="n"/>
      <c r="L140" s="301" t="n"/>
    </row>
    <row r="141" ht="15" customHeight="1" s="221">
      <c r="A141" s="301" t="n"/>
      <c r="B141" s="301" t="n"/>
      <c r="C141" s="301" t="n"/>
      <c r="D141" s="301" t="n"/>
      <c r="E141" s="301" t="n"/>
      <c r="F141" s="301" t="n"/>
      <c r="G141" s="301" t="n"/>
      <c r="H141" s="301" t="n"/>
      <c r="I141" s="301" t="n"/>
      <c r="J141" s="301" t="n"/>
      <c r="K141" s="301" t="n"/>
      <c r="L141" s="301" t="n"/>
    </row>
    <row r="142" ht="15" customHeight="1" s="221">
      <c r="A142" s="301" t="n"/>
      <c r="B142" s="301" t="n"/>
      <c r="C142" s="301" t="n"/>
      <c r="D142" s="301" t="n"/>
      <c r="E142" s="301" t="n"/>
      <c r="F142" s="301" t="n"/>
      <c r="G142" s="301" t="n"/>
      <c r="H142" s="301" t="n"/>
      <c r="I142" s="301" t="n"/>
      <c r="J142" s="301" t="n"/>
      <c r="K142" s="301" t="n"/>
      <c r="L142" s="301" t="n"/>
    </row>
    <row r="143" ht="15" customHeight="1" s="221">
      <c r="A143" s="301" t="n"/>
      <c r="B143" s="301" t="n"/>
      <c r="C143" s="301" t="n"/>
      <c r="D143" s="301" t="n"/>
      <c r="E143" s="301" t="n"/>
      <c r="F143" s="301" t="n"/>
      <c r="G143" s="301" t="n"/>
      <c r="H143" s="301" t="n"/>
      <c r="I143" s="301" t="n"/>
      <c r="J143" s="301" t="n"/>
      <c r="K143" s="301" t="n"/>
      <c r="L143" s="301" t="n"/>
    </row>
    <row r="144" ht="15" customHeight="1" s="221">
      <c r="A144" s="301" t="n"/>
      <c r="B144" s="301" t="n"/>
      <c r="C144" s="301" t="n"/>
      <c r="D144" s="301" t="n"/>
      <c r="E144" s="301" t="n"/>
      <c r="F144" s="301" t="n"/>
      <c r="G144" s="301" t="n"/>
      <c r="H144" s="301" t="n"/>
      <c r="I144" s="301" t="n"/>
      <c r="J144" s="301" t="n"/>
      <c r="K144" s="301" t="n"/>
      <c r="L144" s="301" t="n"/>
    </row>
    <row r="145" ht="15" customHeight="1" s="221">
      <c r="A145" s="301" t="n"/>
      <c r="B145" s="301" t="n"/>
      <c r="C145" s="301" t="n"/>
      <c r="D145" s="301" t="n"/>
      <c r="E145" s="301" t="n"/>
      <c r="F145" s="301" t="n"/>
      <c r="G145" s="301" t="n"/>
      <c r="H145" s="301" t="n"/>
      <c r="I145" s="301" t="n"/>
      <c r="J145" s="301" t="n"/>
      <c r="K145" s="301" t="n"/>
      <c r="L145" s="301" t="n"/>
    </row>
    <row r="146" ht="15" customHeight="1" s="221">
      <c r="A146" s="301" t="n"/>
      <c r="B146" s="301" t="n"/>
      <c r="C146" s="301" t="n"/>
      <c r="D146" s="301" t="n"/>
      <c r="E146" s="301" t="n"/>
      <c r="F146" s="301" t="n"/>
      <c r="G146" s="301" t="n"/>
      <c r="H146" s="301" t="n"/>
      <c r="I146" s="301" t="n"/>
      <c r="J146" s="301" t="n"/>
      <c r="K146" s="301" t="n"/>
      <c r="L146" s="301" t="n"/>
    </row>
    <row r="147" ht="15" customHeight="1" s="221">
      <c r="A147" s="301" t="n"/>
      <c r="B147" s="301" t="n"/>
      <c r="C147" s="301" t="n"/>
      <c r="D147" s="301" t="n"/>
      <c r="E147" s="301" t="n"/>
      <c r="F147" s="301" t="n"/>
      <c r="G147" s="301" t="n"/>
      <c r="H147" s="301" t="n"/>
      <c r="I147" s="301" t="n"/>
      <c r="J147" s="301" t="n"/>
      <c r="K147" s="301" t="n"/>
      <c r="L147" s="301" t="n"/>
    </row>
    <row r="148" ht="15" customHeight="1" s="221">
      <c r="A148" s="301" t="n"/>
      <c r="B148" s="301" t="n"/>
      <c r="C148" s="301" t="n"/>
      <c r="D148" s="301" t="n"/>
      <c r="E148" s="301" t="n"/>
      <c r="F148" s="301" t="n"/>
      <c r="G148" s="301" t="n"/>
      <c r="H148" s="301" t="n"/>
      <c r="I148" s="301" t="n"/>
      <c r="J148" s="301" t="n"/>
      <c r="K148" s="301" t="n"/>
      <c r="L148" s="301" t="n"/>
    </row>
    <row r="149" ht="15" customHeight="1" s="221">
      <c r="A149" s="301" t="n"/>
      <c r="B149" s="301" t="n"/>
      <c r="C149" s="301" t="n"/>
      <c r="D149" s="301" t="n"/>
      <c r="E149" s="301" t="n"/>
      <c r="F149" s="301" t="n"/>
      <c r="G149" s="301" t="n"/>
      <c r="H149" s="301" t="n"/>
      <c r="I149" s="301" t="n"/>
      <c r="J149" s="301" t="n"/>
      <c r="K149" s="301" t="n"/>
      <c r="L149" s="301" t="n"/>
    </row>
    <row r="150" ht="15" customHeight="1" s="221">
      <c r="A150" s="301" t="n"/>
      <c r="B150" s="301" t="n"/>
      <c r="C150" s="301" t="n"/>
      <c r="D150" s="301" t="n"/>
      <c r="E150" s="301" t="n"/>
      <c r="F150" s="301" t="n"/>
      <c r="G150" s="301" t="n"/>
      <c r="H150" s="301" t="n"/>
      <c r="I150" s="301" t="n"/>
      <c r="J150" s="301" t="n"/>
      <c r="K150" s="301" t="n"/>
      <c r="L150" s="301" t="n"/>
    </row>
  </sheetData>
  <mergeCells count="35">
    <mergeCell ref="G10:I10"/>
    <mergeCell ref="A8:D8"/>
    <mergeCell ref="A73:B73"/>
    <mergeCell ref="A62:D62"/>
    <mergeCell ref="G47:J47"/>
    <mergeCell ref="G54:J54"/>
    <mergeCell ref="A28:D28"/>
    <mergeCell ref="A26:C26"/>
    <mergeCell ref="G40:J40"/>
    <mergeCell ref="J77:K77"/>
    <mergeCell ref="A30:D30"/>
    <mergeCell ref="A51:D51"/>
    <mergeCell ref="A20:C20"/>
    <mergeCell ref="A3:B3"/>
    <mergeCell ref="G3:H3"/>
    <mergeCell ref="G67:J67"/>
    <mergeCell ref="A1:J1"/>
    <mergeCell ref="G8:J8"/>
    <mergeCell ref="G9:I9"/>
    <mergeCell ref="G65:H65"/>
    <mergeCell ref="D4:E4"/>
    <mergeCell ref="A41:D41"/>
    <mergeCell ref="G12:I12"/>
    <mergeCell ref="A17:B17"/>
    <mergeCell ref="D3:E3"/>
    <mergeCell ref="G64:H64"/>
    <mergeCell ref="G28:J28"/>
    <mergeCell ref="A4:B4"/>
    <mergeCell ref="G4:H4"/>
    <mergeCell ref="A72:B72"/>
    <mergeCell ref="A6:C6"/>
    <mergeCell ref="G34:J34"/>
    <mergeCell ref="G30:J30"/>
    <mergeCell ref="A9:B9"/>
    <mergeCell ref="G45:J45"/>
  </mergeCells>
  <conditionalFormatting sqref="B33:B200">
    <cfRule type="expression" rank="0" priority="2" equalAverage="0" aboveAverage="0" dxfId="0" text="" percent="0" bottom="0">
      <formula>$B33="Pagado"</formula>
    </cfRule>
    <cfRule type="expression" rank="0" priority="3" equalAverage="0" aboveAverage="0" dxfId="1" text="" percent="0" bottom="0">
      <formula>$B33="Pendiente"</formula>
    </cfRule>
    <cfRule type="expression" rank="0" priority="4" equalAverage="0" aboveAverage="0" dxfId="2" text="" percent="0" bottom="0">
      <formula>$B33="Cancelado"</formula>
    </cfRule>
  </conditionalFormatting>
  <dataValidations count="2">
    <dataValidation sqref="B33:B200" showDropDown="0" showInputMessage="0" showErrorMessage="0" allowBlank="1" type="list" errorStyle="stop" operator="between">
      <formula1>"Ninguno,Pendiente,Pagado,Cancelado"</formula1>
      <formula2>0</formula2>
    </dataValidation>
    <dataValidation sqref="H31:H62" showDropDown="0" showInputMessage="0" showErrorMessage="0" allowBlank="1" errorTitle="Estado inválido" error="Selecciona un estado válido" type="list">
      <formula1>"Ninguno,Pendiente,Pagado,Cancelado"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E74C3C"/>
    <outlinePr summaryBelow="1" summaryRight="1"/>
    <pageSetUpPr fitToPage="0"/>
  </sheetPr>
  <dimension ref="A1:J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2" customWidth="1" style="220" min="1" max="2"/>
    <col width="18" customWidth="1" style="220" min="3" max="3"/>
    <col width="28" customWidth="1" style="220" min="4" max="4"/>
    <col width="14" customWidth="1" style="220" min="5" max="6"/>
    <col width="18" customWidth="1" style="220" min="7" max="8"/>
  </cols>
  <sheetData>
    <row r="1" ht="18" customHeight="1" s="221">
      <c r="A1" s="310" t="inlineStr">
        <is>
          <t>📋 REGISTRO DE MOVIMIENTOS - ABRIL 2026</t>
        </is>
      </c>
      <c r="I1" s="301" t="n"/>
      <c r="J1" s="301" t="n"/>
    </row>
    <row r="2" ht="15" customHeight="1" s="221">
      <c r="A2" s="301" t="n"/>
      <c r="B2" s="301" t="n"/>
      <c r="C2" s="301" t="n"/>
      <c r="D2" s="301" t="n"/>
      <c r="E2" s="301" t="n"/>
      <c r="F2" s="301" t="n"/>
      <c r="G2" s="301" t="n"/>
      <c r="H2" s="301" t="n"/>
      <c r="I2" s="301" t="n"/>
      <c r="J2" s="301" t="n"/>
    </row>
    <row r="3" ht="15" customHeight="1" s="221">
      <c r="A3" s="311" t="inlineStr">
        <is>
          <t>Fecha</t>
        </is>
      </c>
      <c r="B3" s="312" t="inlineStr">
        <is>
          <t>Tipo</t>
        </is>
      </c>
      <c r="C3" s="312" t="inlineStr">
        <is>
          <t>Categoría</t>
        </is>
      </c>
      <c r="D3" s="311" t="inlineStr">
        <is>
          <t>Descripción</t>
        </is>
      </c>
      <c r="E3" s="311" t="inlineStr">
        <is>
          <t>Ingreso</t>
        </is>
      </c>
      <c r="F3" s="311" t="inlineStr">
        <is>
          <t>Egreso</t>
        </is>
      </c>
      <c r="G3" s="311" t="inlineStr">
        <is>
          <t>Cuenta</t>
        </is>
      </c>
      <c r="H3" s="311" t="inlineStr">
        <is>
          <t>Notas</t>
        </is>
      </c>
      <c r="I3" s="301" t="n"/>
      <c r="J3" s="301" t="n"/>
    </row>
    <row r="4" ht="15" customHeight="1" s="221">
      <c r="A4" s="313" t="n"/>
      <c r="B4" s="314" t="n"/>
      <c r="C4" s="315" t="n"/>
      <c r="D4" s="316" t="n"/>
      <c r="E4" s="317" t="n"/>
      <c r="F4" s="317" t="n"/>
      <c r="G4" s="318" t="n"/>
      <c r="H4" s="316" t="n"/>
      <c r="I4" s="301" t="n"/>
      <c r="J4" s="301" t="n"/>
    </row>
    <row r="5" ht="15" customHeight="1" s="221">
      <c r="A5" s="319" t="n"/>
      <c r="B5" s="320" t="n"/>
      <c r="C5" s="321" t="n"/>
      <c r="D5" s="322" t="n"/>
      <c r="E5" s="323" t="n"/>
      <c r="F5" s="323" t="n"/>
      <c r="G5" s="324" t="n"/>
      <c r="H5" s="322" t="n"/>
      <c r="I5" s="301" t="n"/>
      <c r="J5" s="301" t="n"/>
    </row>
    <row r="6" ht="15" customHeight="1" s="221">
      <c r="A6" s="313" t="n"/>
      <c r="B6" s="314" t="n"/>
      <c r="C6" s="315" t="n"/>
      <c r="D6" s="316" t="n"/>
      <c r="E6" s="317" t="n"/>
      <c r="F6" s="317" t="n"/>
      <c r="G6" s="318" t="n"/>
      <c r="H6" s="316" t="n"/>
      <c r="I6" s="301" t="n"/>
      <c r="J6" s="301" t="n"/>
    </row>
    <row r="7" ht="15" customHeight="1" s="221">
      <c r="A7" s="319" t="n"/>
      <c r="B7" s="320" t="n"/>
      <c r="C7" s="321" t="n"/>
      <c r="D7" s="322" t="n"/>
      <c r="E7" s="323" t="n"/>
      <c r="F7" s="323" t="n"/>
      <c r="G7" s="324" t="n"/>
      <c r="H7" s="322" t="n"/>
      <c r="I7" s="301" t="n"/>
      <c r="J7" s="301" t="n"/>
    </row>
    <row r="8" ht="15" customHeight="1" s="221">
      <c r="A8" s="313" t="n"/>
      <c r="B8" s="314" t="n"/>
      <c r="C8" s="315" t="n"/>
      <c r="D8" s="316" t="n"/>
      <c r="E8" s="317" t="n"/>
      <c r="F8" s="317" t="n"/>
      <c r="G8" s="318" t="n"/>
      <c r="H8" s="316" t="n"/>
      <c r="I8" s="301" t="n"/>
      <c r="J8" s="301" t="n"/>
    </row>
    <row r="9" ht="15" customHeight="1" s="221">
      <c r="A9" s="319" t="n"/>
      <c r="B9" s="320" t="n"/>
      <c r="C9" s="321" t="n"/>
      <c r="D9" s="322" t="n"/>
      <c r="E9" s="323" t="n"/>
      <c r="F9" s="323" t="n"/>
      <c r="G9" s="324" t="n"/>
      <c r="H9" s="322" t="n"/>
      <c r="I9" s="301" t="n"/>
      <c r="J9" s="301" t="n"/>
    </row>
    <row r="10" ht="15" customHeight="1" s="221">
      <c r="A10" s="313" t="n"/>
      <c r="B10" s="314" t="n"/>
      <c r="C10" s="315" t="n"/>
      <c r="D10" s="316" t="n"/>
      <c r="E10" s="317" t="n"/>
      <c r="F10" s="317" t="n"/>
      <c r="G10" s="318" t="n"/>
      <c r="H10" s="316" t="n"/>
      <c r="I10" s="301" t="n"/>
      <c r="J10" s="301" t="n"/>
    </row>
    <row r="11" ht="15" customHeight="1" s="221">
      <c r="A11" s="319" t="n"/>
      <c r="B11" s="320" t="n"/>
      <c r="C11" s="321" t="n"/>
      <c r="D11" s="322" t="n"/>
      <c r="E11" s="323" t="n"/>
      <c r="F11" s="323" t="n"/>
      <c r="G11" s="324" t="n"/>
      <c r="H11" s="322" t="n"/>
      <c r="I11" s="301" t="n"/>
      <c r="J11" s="301" t="n"/>
    </row>
    <row r="12" ht="15" customHeight="1" s="221">
      <c r="A12" s="313" t="n"/>
      <c r="B12" s="314" t="n"/>
      <c r="C12" s="315" t="n"/>
      <c r="D12" s="316" t="n"/>
      <c r="E12" s="317" t="n"/>
      <c r="F12" s="317" t="n"/>
      <c r="G12" s="318" t="n"/>
      <c r="H12" s="316" t="n"/>
      <c r="I12" s="301" t="n"/>
      <c r="J12" s="301" t="n"/>
    </row>
    <row r="13" ht="15" customHeight="1" s="221">
      <c r="A13" s="319" t="n"/>
      <c r="B13" s="320" t="n"/>
      <c r="C13" s="321" t="n"/>
      <c r="D13" s="322" t="n"/>
      <c r="E13" s="323" t="n"/>
      <c r="F13" s="323" t="n"/>
      <c r="G13" s="324" t="n"/>
      <c r="H13" s="322" t="n"/>
      <c r="I13" s="301" t="n"/>
      <c r="J13" s="301" t="n"/>
    </row>
    <row r="14" ht="15" customHeight="1" s="221">
      <c r="A14" s="313" t="n"/>
      <c r="B14" s="314" t="n"/>
      <c r="C14" s="315" t="n"/>
      <c r="D14" s="316" t="n"/>
      <c r="E14" s="317" t="n"/>
      <c r="F14" s="317" t="n"/>
      <c r="G14" s="318" t="n"/>
      <c r="H14" s="316" t="n"/>
      <c r="I14" s="301" t="n"/>
      <c r="J14" s="301" t="n"/>
    </row>
    <row r="15" ht="15" customHeight="1" s="221">
      <c r="A15" s="319" t="n"/>
      <c r="B15" s="320" t="n"/>
      <c r="C15" s="321" t="n"/>
      <c r="D15" s="322" t="n"/>
      <c r="E15" s="323" t="n"/>
      <c r="F15" s="323" t="n"/>
      <c r="G15" s="324" t="n"/>
      <c r="H15" s="322" t="n"/>
      <c r="I15" s="301" t="n"/>
      <c r="J15" s="301" t="n"/>
    </row>
    <row r="16" ht="15" customHeight="1" s="221">
      <c r="A16" s="313" t="n"/>
      <c r="B16" s="314" t="n"/>
      <c r="C16" s="315" t="n"/>
      <c r="D16" s="316" t="n"/>
      <c r="E16" s="317" t="n"/>
      <c r="F16" s="317" t="n"/>
      <c r="G16" s="318" t="n"/>
      <c r="H16" s="316" t="n"/>
      <c r="I16" s="301" t="n"/>
      <c r="J16" s="301" t="n"/>
    </row>
    <row r="17" ht="15" customHeight="1" s="221">
      <c r="A17" s="319" t="n"/>
      <c r="B17" s="320" t="n"/>
      <c r="C17" s="321" t="n"/>
      <c r="D17" s="322" t="n"/>
      <c r="E17" s="323" t="n"/>
      <c r="F17" s="323" t="n"/>
      <c r="G17" s="324" t="n"/>
      <c r="H17" s="322" t="n"/>
      <c r="I17" s="301" t="n"/>
      <c r="J17" s="301" t="n"/>
    </row>
    <row r="18" ht="15" customHeight="1" s="221">
      <c r="A18" s="313" t="n"/>
      <c r="B18" s="314" t="n"/>
      <c r="C18" s="315" t="n"/>
      <c r="D18" s="316" t="n"/>
      <c r="E18" s="317" t="n"/>
      <c r="F18" s="317" t="n"/>
      <c r="G18" s="318" t="n"/>
      <c r="H18" s="316" t="n"/>
      <c r="I18" s="301" t="n"/>
      <c r="J18" s="301" t="n"/>
    </row>
    <row r="19" ht="15" customHeight="1" s="221">
      <c r="A19" s="319" t="n"/>
      <c r="B19" s="320" t="n"/>
      <c r="C19" s="321" t="n"/>
      <c r="D19" s="322" t="n"/>
      <c r="E19" s="323" t="n"/>
      <c r="F19" s="323" t="n"/>
      <c r="G19" s="324" t="n"/>
      <c r="H19" s="322" t="n"/>
      <c r="I19" s="301" t="n"/>
      <c r="J19" s="301" t="n"/>
    </row>
    <row r="20" ht="15" customHeight="1" s="221">
      <c r="A20" s="313" t="n"/>
      <c r="B20" s="314" t="n"/>
      <c r="C20" s="315" t="n"/>
      <c r="D20" s="316" t="n"/>
      <c r="E20" s="317" t="n"/>
      <c r="F20" s="317" t="n"/>
      <c r="G20" s="318" t="n"/>
      <c r="H20" s="316" t="n"/>
      <c r="I20" s="301" t="n"/>
      <c r="J20" s="301" t="n"/>
    </row>
    <row r="21" ht="15" customHeight="1" s="221">
      <c r="A21" s="319" t="n"/>
      <c r="B21" s="320" t="n"/>
      <c r="C21" s="321" t="n"/>
      <c r="D21" s="322" t="n"/>
      <c r="E21" s="323" t="n"/>
      <c r="F21" s="323" t="n"/>
      <c r="G21" s="324" t="n"/>
      <c r="H21" s="322" t="n"/>
      <c r="I21" s="301" t="n"/>
      <c r="J21" s="301" t="n"/>
    </row>
    <row r="22" ht="15" customHeight="1" s="221">
      <c r="A22" s="313" t="n"/>
      <c r="B22" s="314" t="n"/>
      <c r="C22" s="315" t="n"/>
      <c r="D22" s="316" t="n"/>
      <c r="E22" s="317" t="n"/>
      <c r="F22" s="317" t="n"/>
      <c r="G22" s="318" t="n"/>
      <c r="H22" s="316" t="n"/>
      <c r="I22" s="301" t="n"/>
      <c r="J22" s="301" t="n"/>
    </row>
    <row r="23" ht="15" customHeight="1" s="221">
      <c r="A23" s="319" t="n"/>
      <c r="B23" s="320" t="n"/>
      <c r="C23" s="321" t="n"/>
      <c r="D23" s="322" t="n"/>
      <c r="E23" s="323" t="n"/>
      <c r="F23" s="323" t="n"/>
      <c r="G23" s="324" t="n"/>
      <c r="H23" s="322" t="n"/>
      <c r="I23" s="301" t="n"/>
      <c r="J23" s="301" t="n"/>
    </row>
    <row r="24" ht="15" customHeight="1" s="221">
      <c r="A24" s="313" t="n"/>
      <c r="B24" s="318" t="n"/>
      <c r="C24" s="315" t="n"/>
      <c r="D24" s="316" t="n"/>
      <c r="E24" s="317" t="n"/>
      <c r="F24" s="317" t="n"/>
      <c r="G24" s="318" t="n"/>
      <c r="H24" s="316" t="n"/>
      <c r="I24" s="301" t="n"/>
      <c r="J24" s="301" t="n"/>
    </row>
    <row r="25" ht="15" customHeight="1" s="221">
      <c r="A25" s="319" t="n"/>
      <c r="B25" s="324" t="n"/>
      <c r="C25" s="321" t="n"/>
      <c r="D25" s="322" t="n"/>
      <c r="E25" s="323" t="n"/>
      <c r="F25" s="323" t="n"/>
      <c r="G25" s="324" t="n"/>
      <c r="H25" s="322" t="n"/>
      <c r="I25" s="301" t="n"/>
      <c r="J25" s="301" t="n"/>
    </row>
    <row r="26" ht="15" customHeight="1" s="221">
      <c r="A26" s="313" t="n"/>
      <c r="B26" s="318" t="n"/>
      <c r="C26" s="315" t="n"/>
      <c r="D26" s="316" t="n"/>
      <c r="E26" s="317" t="n"/>
      <c r="F26" s="317" t="n"/>
      <c r="G26" s="318" t="n"/>
      <c r="H26" s="316" t="n"/>
      <c r="I26" s="301" t="n"/>
      <c r="J26" s="301" t="n"/>
    </row>
    <row r="27" ht="15" customHeight="1" s="221">
      <c r="A27" s="319" t="n"/>
      <c r="B27" s="324" t="n"/>
      <c r="C27" s="321" t="n"/>
      <c r="D27" s="322" t="n"/>
      <c r="E27" s="323" t="n"/>
      <c r="F27" s="323" t="n"/>
      <c r="G27" s="324" t="n"/>
      <c r="H27" s="322" t="n"/>
      <c r="I27" s="301" t="n"/>
      <c r="J27" s="301" t="n"/>
    </row>
    <row r="28" ht="15" customHeight="1" s="221">
      <c r="A28" s="313" t="n"/>
      <c r="B28" s="318" t="n"/>
      <c r="C28" s="315" t="n"/>
      <c r="D28" s="316" t="n"/>
      <c r="E28" s="317" t="n"/>
      <c r="F28" s="317" t="n"/>
      <c r="G28" s="318" t="n"/>
      <c r="H28" s="316" t="n"/>
      <c r="I28" s="301" t="n"/>
      <c r="J28" s="301" t="n"/>
    </row>
    <row r="29" ht="15" customHeight="1" s="221">
      <c r="A29" s="319" t="n"/>
      <c r="B29" s="324" t="n"/>
      <c r="C29" s="321" t="n"/>
      <c r="D29" s="322" t="n"/>
      <c r="E29" s="323" t="n"/>
      <c r="F29" s="323" t="n"/>
      <c r="G29" s="324" t="n"/>
      <c r="H29" s="322" t="n"/>
      <c r="I29" s="301" t="n"/>
      <c r="J29" s="301" t="n"/>
    </row>
    <row r="30" ht="15" customHeight="1" s="221">
      <c r="A30" s="313" t="n"/>
      <c r="B30" s="318" t="n"/>
      <c r="C30" s="315" t="n"/>
      <c r="D30" s="316" t="n"/>
      <c r="E30" s="317" t="n"/>
      <c r="F30" s="317" t="n"/>
      <c r="G30" s="318" t="n"/>
      <c r="H30" s="316" t="n"/>
      <c r="I30" s="301" t="n"/>
      <c r="J30" s="301" t="n"/>
    </row>
    <row r="31" ht="15" customHeight="1" s="221">
      <c r="A31" s="319" t="n"/>
      <c r="B31" s="324" t="n"/>
      <c r="C31" s="321" t="n"/>
      <c r="D31" s="322" t="n"/>
      <c r="E31" s="323" t="n"/>
      <c r="F31" s="323" t="n"/>
      <c r="G31" s="324" t="n"/>
      <c r="H31" s="322" t="n"/>
      <c r="I31" s="301" t="n"/>
      <c r="J31" s="301" t="n"/>
    </row>
    <row r="32" ht="15" customHeight="1" s="221">
      <c r="A32" s="313" t="n"/>
      <c r="B32" s="318" t="n"/>
      <c r="C32" s="315" t="n"/>
      <c r="D32" s="316" t="n"/>
      <c r="E32" s="317" t="n"/>
      <c r="F32" s="317" t="n"/>
      <c r="G32" s="318" t="n"/>
      <c r="H32" s="316" t="n"/>
      <c r="I32" s="301" t="n"/>
      <c r="J32" s="301" t="n"/>
    </row>
    <row r="33" ht="15" customHeight="1" s="221">
      <c r="A33" s="319" t="n"/>
      <c r="B33" s="324" t="n"/>
      <c r="C33" s="321" t="n"/>
      <c r="D33" s="322" t="n"/>
      <c r="E33" s="323" t="n"/>
      <c r="F33" s="323" t="n"/>
      <c r="G33" s="324" t="n"/>
      <c r="H33" s="322" t="n"/>
      <c r="I33" s="301" t="n"/>
      <c r="J33" s="301" t="n"/>
    </row>
    <row r="34" ht="15" customHeight="1" s="221">
      <c r="A34" s="313" t="n"/>
      <c r="B34" s="318" t="n"/>
      <c r="C34" s="315" t="n"/>
      <c r="D34" s="316" t="n"/>
      <c r="E34" s="317" t="n"/>
      <c r="F34" s="317" t="n"/>
      <c r="G34" s="318" t="n"/>
      <c r="H34" s="316" t="n"/>
      <c r="I34" s="301" t="n"/>
      <c r="J34" s="301" t="n"/>
    </row>
    <row r="35" ht="15" customHeight="1" s="221">
      <c r="A35" s="319" t="n"/>
      <c r="B35" s="324" t="n"/>
      <c r="C35" s="322" t="n"/>
      <c r="D35" s="322" t="n"/>
      <c r="E35" s="323" t="n"/>
      <c r="F35" s="323" t="n"/>
      <c r="G35" s="324" t="n"/>
      <c r="H35" s="322" t="n"/>
      <c r="I35" s="301" t="n"/>
      <c r="J35" s="301" t="n"/>
    </row>
    <row r="36" ht="15" customHeight="1" s="221">
      <c r="A36" s="313" t="n"/>
      <c r="B36" s="318" t="n"/>
      <c r="C36" s="316" t="n"/>
      <c r="D36" s="316" t="n"/>
      <c r="E36" s="317" t="n"/>
      <c r="F36" s="317" t="n"/>
      <c r="G36" s="318" t="n"/>
      <c r="H36" s="316" t="n"/>
      <c r="I36" s="301" t="n"/>
      <c r="J36" s="301" t="n"/>
    </row>
    <row r="37" ht="15" customHeight="1" s="221">
      <c r="A37" s="319" t="n"/>
      <c r="B37" s="324" t="n"/>
      <c r="C37" s="322" t="n"/>
      <c r="D37" s="322" t="n"/>
      <c r="E37" s="323" t="n"/>
      <c r="F37" s="323" t="n"/>
      <c r="G37" s="324" t="n"/>
      <c r="H37" s="322" t="n"/>
      <c r="I37" s="301" t="n"/>
      <c r="J37" s="301" t="n"/>
    </row>
    <row r="38" ht="15" customHeight="1" s="221">
      <c r="A38" s="313" t="n"/>
      <c r="B38" s="318" t="n"/>
      <c r="C38" s="316" t="n"/>
      <c r="D38" s="316" t="n"/>
      <c r="E38" s="317" t="n"/>
      <c r="F38" s="317" t="n"/>
      <c r="G38" s="318" t="n"/>
      <c r="H38" s="316" t="n"/>
      <c r="I38" s="301" t="n"/>
      <c r="J38" s="301" t="n"/>
    </row>
    <row r="39" ht="15" customHeight="1" s="221">
      <c r="A39" s="319" t="n"/>
      <c r="B39" s="324" t="n"/>
      <c r="C39" s="322" t="n"/>
      <c r="D39" s="322" t="n"/>
      <c r="E39" s="323" t="n"/>
      <c r="F39" s="323" t="n"/>
      <c r="G39" s="324" t="n"/>
      <c r="H39" s="322" t="n"/>
      <c r="I39" s="301" t="n"/>
      <c r="J39" s="301" t="n"/>
    </row>
    <row r="40" ht="15" customHeight="1" s="221">
      <c r="A40" s="313" t="n"/>
      <c r="B40" s="318" t="n"/>
      <c r="C40" s="316" t="n"/>
      <c r="D40" s="316" t="n"/>
      <c r="E40" s="317" t="n"/>
      <c r="F40" s="317" t="n"/>
      <c r="G40" s="318" t="n"/>
      <c r="H40" s="316" t="n"/>
      <c r="I40" s="301" t="n"/>
      <c r="J40" s="301" t="n"/>
    </row>
    <row r="41" ht="15" customHeight="1" s="221">
      <c r="A41" s="319" t="n"/>
      <c r="B41" s="324" t="n"/>
      <c r="C41" s="322" t="n"/>
      <c r="D41" s="322" t="n"/>
      <c r="E41" s="323" t="n"/>
      <c r="F41" s="323" t="n"/>
      <c r="G41" s="324" t="n"/>
      <c r="H41" s="322" t="n"/>
      <c r="I41" s="301" t="n"/>
      <c r="J41" s="301" t="n"/>
    </row>
    <row r="42" ht="15" customHeight="1" s="221">
      <c r="A42" s="313" t="n"/>
      <c r="B42" s="318" t="n"/>
      <c r="C42" s="316" t="n"/>
      <c r="D42" s="316" t="n"/>
      <c r="E42" s="317" t="n"/>
      <c r="F42" s="317" t="n"/>
      <c r="G42" s="318" t="n"/>
      <c r="H42" s="316" t="n"/>
      <c r="I42" s="301" t="n"/>
      <c r="J42" s="301" t="n"/>
    </row>
    <row r="43" ht="15" customHeight="1" s="221">
      <c r="A43" s="319" t="n"/>
      <c r="B43" s="324" t="n"/>
      <c r="C43" s="322" t="n"/>
      <c r="D43" s="322" t="n"/>
      <c r="E43" s="323" t="n"/>
      <c r="F43" s="323" t="n"/>
      <c r="G43" s="324" t="n"/>
      <c r="H43" s="322" t="n"/>
      <c r="I43" s="301" t="n"/>
      <c r="J43" s="301" t="n"/>
    </row>
    <row r="44" ht="15" customHeight="1" s="221">
      <c r="A44" s="313" t="n"/>
      <c r="B44" s="318" t="n"/>
      <c r="C44" s="316" t="n"/>
      <c r="D44" s="316" t="n"/>
      <c r="E44" s="317" t="n"/>
      <c r="F44" s="317" t="n"/>
      <c r="G44" s="318" t="n"/>
      <c r="H44" s="316" t="n"/>
      <c r="I44" s="301" t="n"/>
      <c r="J44" s="301" t="n"/>
    </row>
    <row r="45" ht="15" customHeight="1" s="221">
      <c r="A45" s="319" t="n"/>
      <c r="B45" s="324" t="n"/>
      <c r="C45" s="322" t="n"/>
      <c r="D45" s="322" t="n"/>
      <c r="E45" s="323" t="n"/>
      <c r="F45" s="323" t="n"/>
      <c r="G45" s="324" t="n"/>
      <c r="H45" s="322" t="n"/>
      <c r="I45" s="301" t="n"/>
      <c r="J45" s="301" t="n"/>
    </row>
    <row r="46" ht="15" customHeight="1" s="221">
      <c r="A46" s="313" t="n"/>
      <c r="B46" s="318" t="n"/>
      <c r="C46" s="316" t="n"/>
      <c r="D46" s="316" t="n"/>
      <c r="E46" s="317" t="n"/>
      <c r="F46" s="317" t="n"/>
      <c r="G46" s="318" t="n"/>
      <c r="H46" s="316" t="n"/>
      <c r="I46" s="301" t="n"/>
      <c r="J46" s="301" t="n"/>
    </row>
    <row r="47" ht="15" customHeight="1" s="221">
      <c r="A47" s="319" t="n"/>
      <c r="B47" s="324" t="n"/>
      <c r="C47" s="322" t="n"/>
      <c r="D47" s="322" t="n"/>
      <c r="E47" s="323" t="n"/>
      <c r="F47" s="323" t="n"/>
      <c r="G47" s="324" t="n"/>
      <c r="H47" s="322" t="n"/>
      <c r="I47" s="301" t="n"/>
      <c r="J47" s="301" t="n"/>
    </row>
    <row r="48" ht="15" customHeight="1" s="221">
      <c r="A48" s="313" t="n"/>
      <c r="B48" s="318" t="n"/>
      <c r="C48" s="316" t="n"/>
      <c r="D48" s="316" t="n"/>
      <c r="E48" s="317" t="n"/>
      <c r="F48" s="317" t="n"/>
      <c r="G48" s="318" t="n"/>
      <c r="H48" s="316" t="n"/>
      <c r="I48" s="301" t="n"/>
      <c r="J48" s="301" t="n"/>
    </row>
    <row r="49" ht="15" customHeight="1" s="221">
      <c r="A49" s="319" t="n"/>
      <c r="B49" s="324" t="n"/>
      <c r="C49" s="322" t="n"/>
      <c r="D49" s="322" t="n"/>
      <c r="E49" s="323" t="n"/>
      <c r="F49" s="323" t="n"/>
      <c r="G49" s="324" t="n"/>
      <c r="H49" s="322" t="n"/>
      <c r="I49" s="301" t="n"/>
      <c r="J49" s="301" t="n"/>
    </row>
    <row r="50" ht="15" customHeight="1" s="221">
      <c r="A50" s="313" t="n"/>
      <c r="B50" s="318" t="n"/>
      <c r="C50" s="316" t="n"/>
      <c r="D50" s="316" t="n"/>
      <c r="E50" s="317" t="n"/>
      <c r="F50" s="317" t="n"/>
      <c r="G50" s="318" t="n"/>
      <c r="H50" s="316" t="n"/>
      <c r="I50" s="301" t="n"/>
      <c r="J50" s="301" t="n"/>
    </row>
    <row r="51" ht="15" customHeight="1" s="221">
      <c r="A51" s="319" t="n"/>
      <c r="B51" s="324" t="n"/>
      <c r="C51" s="322" t="n"/>
      <c r="D51" s="322" t="n"/>
      <c r="E51" s="323" t="n"/>
      <c r="F51" s="323" t="n"/>
      <c r="G51" s="324" t="n"/>
      <c r="H51" s="322" t="n"/>
      <c r="I51" s="301" t="n"/>
      <c r="J51" s="301" t="n"/>
    </row>
    <row r="52" ht="15" customHeight="1" s="221">
      <c r="A52" s="313" t="n"/>
      <c r="B52" s="318" t="n"/>
      <c r="C52" s="316" t="n"/>
      <c r="D52" s="316" t="n"/>
      <c r="E52" s="317" t="n"/>
      <c r="F52" s="317" t="n"/>
      <c r="G52" s="318" t="n"/>
      <c r="H52" s="316" t="n"/>
      <c r="I52" s="301" t="n"/>
      <c r="J52" s="301" t="n"/>
    </row>
    <row r="53" ht="15" customHeight="1" s="221">
      <c r="A53" s="319" t="n"/>
      <c r="B53" s="324" t="n"/>
      <c r="C53" s="322" t="n"/>
      <c r="D53" s="322" t="n"/>
      <c r="E53" s="323" t="n"/>
      <c r="F53" s="323" t="n"/>
      <c r="G53" s="324" t="n"/>
      <c r="H53" s="322" t="n"/>
      <c r="I53" s="301" t="n"/>
      <c r="J53" s="301" t="n"/>
    </row>
    <row r="54" ht="15" customHeight="1" s="221">
      <c r="A54" s="313" t="n"/>
      <c r="B54" s="318" t="n"/>
      <c r="C54" s="316" t="n"/>
      <c r="D54" s="316" t="n"/>
      <c r="E54" s="317" t="n"/>
      <c r="F54" s="317" t="n"/>
      <c r="G54" s="318" t="n"/>
      <c r="H54" s="316" t="n"/>
      <c r="I54" s="301" t="n"/>
      <c r="J54" s="301" t="n"/>
    </row>
    <row r="55" ht="15" customHeight="1" s="221">
      <c r="A55" s="319" t="n"/>
      <c r="B55" s="324" t="n"/>
      <c r="C55" s="322" t="n"/>
      <c r="D55" s="322" t="n"/>
      <c r="E55" s="323" t="n"/>
      <c r="F55" s="323" t="n"/>
      <c r="G55" s="324" t="n"/>
      <c r="H55" s="322" t="n"/>
      <c r="I55" s="301" t="n"/>
      <c r="J55" s="301" t="n"/>
    </row>
    <row r="56" ht="15" customHeight="1" s="221">
      <c r="A56" s="313" t="n"/>
      <c r="B56" s="318" t="n"/>
      <c r="C56" s="316" t="n"/>
      <c r="D56" s="316" t="n"/>
      <c r="E56" s="317" t="n"/>
      <c r="F56" s="317" t="n"/>
      <c r="G56" s="318" t="n"/>
      <c r="H56" s="316" t="n"/>
      <c r="I56" s="301" t="n"/>
      <c r="J56" s="301" t="n"/>
    </row>
    <row r="57" ht="15" customHeight="1" s="221">
      <c r="A57" s="319" t="n"/>
      <c r="B57" s="324" t="n"/>
      <c r="C57" s="322" t="n"/>
      <c r="D57" s="322" t="n"/>
      <c r="E57" s="323" t="n"/>
      <c r="F57" s="323" t="n"/>
      <c r="G57" s="324" t="n"/>
      <c r="H57" s="322" t="n"/>
      <c r="I57" s="301" t="n"/>
      <c r="J57" s="301" t="n"/>
    </row>
    <row r="58" ht="15" customHeight="1" s="221">
      <c r="A58" s="313" t="n"/>
      <c r="B58" s="318" t="n"/>
      <c r="C58" s="316" t="n"/>
      <c r="D58" s="316" t="n"/>
      <c r="E58" s="317" t="n"/>
      <c r="F58" s="317" t="n"/>
      <c r="G58" s="318" t="n"/>
      <c r="H58" s="316" t="n"/>
      <c r="I58" s="301" t="n"/>
      <c r="J58" s="301" t="n"/>
    </row>
    <row r="59" ht="15" customHeight="1" s="221">
      <c r="A59" s="319" t="n"/>
      <c r="B59" s="324" t="n"/>
      <c r="C59" s="322" t="n"/>
      <c r="D59" s="322" t="n"/>
      <c r="E59" s="323" t="n"/>
      <c r="F59" s="323" t="n"/>
      <c r="G59" s="324" t="n"/>
      <c r="H59" s="322" t="n"/>
      <c r="I59" s="301" t="n"/>
      <c r="J59" s="301" t="n"/>
    </row>
    <row r="60" ht="15" customHeight="1" s="221">
      <c r="A60" s="313" t="n"/>
      <c r="B60" s="318" t="n"/>
      <c r="C60" s="316" t="n"/>
      <c r="D60" s="316" t="n"/>
      <c r="E60" s="317" t="n"/>
      <c r="F60" s="317" t="n"/>
      <c r="G60" s="318" t="n"/>
      <c r="H60" s="316" t="n"/>
      <c r="I60" s="301" t="n"/>
      <c r="J60" s="301" t="n"/>
    </row>
    <row r="61" ht="15" customHeight="1" s="221">
      <c r="A61" s="319" t="n"/>
      <c r="B61" s="324" t="n"/>
      <c r="C61" s="322" t="n"/>
      <c r="D61" s="322" t="n"/>
      <c r="E61" s="323" t="n"/>
      <c r="F61" s="323" t="n"/>
      <c r="G61" s="324" t="n"/>
      <c r="H61" s="322" t="n"/>
      <c r="I61" s="301" t="n"/>
      <c r="J61" s="301" t="n"/>
    </row>
    <row r="62" ht="15" customHeight="1" s="221">
      <c r="A62" s="313" t="n"/>
      <c r="B62" s="318" t="n"/>
      <c r="C62" s="316" t="n"/>
      <c r="D62" s="316" t="n"/>
      <c r="E62" s="317" t="n"/>
      <c r="F62" s="317" t="n"/>
      <c r="G62" s="318" t="n"/>
      <c r="H62" s="316" t="n"/>
      <c r="I62" s="301" t="n"/>
      <c r="J62" s="301" t="n"/>
    </row>
    <row r="63" ht="15" customHeight="1" s="221">
      <c r="A63" s="319" t="n"/>
      <c r="B63" s="324" t="n"/>
      <c r="C63" s="322" t="n"/>
      <c r="D63" s="322" t="n"/>
      <c r="E63" s="323" t="n"/>
      <c r="F63" s="323" t="n"/>
      <c r="G63" s="324" t="n"/>
      <c r="H63" s="322" t="n"/>
      <c r="I63" s="301" t="n"/>
      <c r="J63" s="301" t="n"/>
    </row>
    <row r="64" ht="15" customHeight="1" s="221">
      <c r="A64" s="313" t="n"/>
      <c r="B64" s="318" t="n"/>
      <c r="C64" s="316" t="n"/>
      <c r="D64" s="316" t="n"/>
      <c r="E64" s="317" t="n"/>
      <c r="F64" s="317" t="n"/>
      <c r="G64" s="318" t="n"/>
      <c r="H64" s="316" t="n"/>
      <c r="I64" s="301" t="n"/>
      <c r="J64" s="301" t="n"/>
    </row>
    <row r="65" ht="15" customHeight="1" s="221">
      <c r="A65" s="319" t="n"/>
      <c r="B65" s="324" t="n"/>
      <c r="C65" s="322" t="n"/>
      <c r="D65" s="322" t="n"/>
      <c r="E65" s="323" t="n"/>
      <c r="F65" s="323" t="n"/>
      <c r="G65" s="324" t="n"/>
      <c r="H65" s="322" t="n"/>
      <c r="I65" s="301" t="n"/>
      <c r="J65" s="301" t="n"/>
    </row>
    <row r="66" ht="15" customHeight="1" s="221">
      <c r="A66" s="313" t="n"/>
      <c r="B66" s="318" t="n"/>
      <c r="C66" s="316" t="n"/>
      <c r="D66" s="316" t="n"/>
      <c r="E66" s="317" t="n"/>
      <c r="F66" s="317" t="n"/>
      <c r="G66" s="318" t="n"/>
      <c r="H66" s="316" t="n"/>
      <c r="I66" s="301" t="n"/>
      <c r="J66" s="301" t="n"/>
    </row>
    <row r="67" ht="15" customHeight="1" s="221">
      <c r="A67" s="319" t="n"/>
      <c r="B67" s="324" t="n"/>
      <c r="C67" s="322" t="n"/>
      <c r="D67" s="322" t="n"/>
      <c r="E67" s="323" t="n"/>
      <c r="F67" s="323" t="n"/>
      <c r="G67" s="324" t="n"/>
      <c r="H67" s="322" t="n"/>
      <c r="I67" s="301" t="n"/>
      <c r="J67" s="301" t="n"/>
    </row>
    <row r="68" ht="15" customHeight="1" s="221">
      <c r="A68" s="313" t="n"/>
      <c r="B68" s="318" t="n"/>
      <c r="C68" s="316" t="n"/>
      <c r="D68" s="316" t="n"/>
      <c r="E68" s="317" t="n"/>
      <c r="F68" s="317" t="n"/>
      <c r="G68" s="318" t="n"/>
      <c r="H68" s="316" t="n"/>
      <c r="I68" s="301" t="n"/>
      <c r="J68" s="301" t="n"/>
    </row>
    <row r="69" ht="15" customHeight="1" s="221">
      <c r="A69" s="319" t="n"/>
      <c r="B69" s="324" t="n"/>
      <c r="C69" s="322" t="n"/>
      <c r="D69" s="322" t="n"/>
      <c r="E69" s="323" t="n"/>
      <c r="F69" s="323" t="n"/>
      <c r="G69" s="324" t="n"/>
      <c r="H69" s="322" t="n"/>
      <c r="I69" s="301" t="n"/>
      <c r="J69" s="301" t="n"/>
    </row>
    <row r="70" ht="15" customHeight="1" s="221">
      <c r="A70" s="313" t="n"/>
      <c r="B70" s="318" t="n"/>
      <c r="C70" s="316" t="n"/>
      <c r="D70" s="316" t="n"/>
      <c r="E70" s="317" t="n"/>
      <c r="F70" s="317" t="n"/>
      <c r="G70" s="318" t="n"/>
      <c r="H70" s="316" t="n"/>
      <c r="I70" s="301" t="n"/>
      <c r="J70" s="301" t="n"/>
    </row>
    <row r="71" ht="15" customHeight="1" s="221">
      <c r="A71" s="319" t="n"/>
      <c r="B71" s="324" t="n"/>
      <c r="C71" s="322" t="n"/>
      <c r="D71" s="322" t="n"/>
      <c r="E71" s="323" t="n"/>
      <c r="F71" s="323" t="n"/>
      <c r="G71" s="324" t="n"/>
      <c r="H71" s="322" t="n"/>
      <c r="I71" s="301" t="n"/>
      <c r="J71" s="301" t="n"/>
    </row>
    <row r="72" ht="15" customHeight="1" s="221">
      <c r="A72" s="313" t="n"/>
      <c r="B72" s="318" t="n"/>
      <c r="C72" s="316" t="n"/>
      <c r="D72" s="316" t="n"/>
      <c r="E72" s="317" t="n"/>
      <c r="F72" s="317" t="n"/>
      <c r="G72" s="318" t="n"/>
      <c r="H72" s="316" t="n"/>
      <c r="I72" s="301" t="n"/>
      <c r="J72" s="301" t="n"/>
    </row>
    <row r="73" ht="15" customHeight="1" s="221">
      <c r="A73" s="319" t="n"/>
      <c r="B73" s="324" t="n"/>
      <c r="C73" s="322" t="n"/>
      <c r="D73" s="322" t="n"/>
      <c r="E73" s="323" t="n"/>
      <c r="F73" s="323" t="n"/>
      <c r="G73" s="324" t="n"/>
      <c r="H73" s="322" t="n"/>
      <c r="I73" s="301" t="n"/>
      <c r="J73" s="301" t="n"/>
    </row>
    <row r="74" ht="15" customHeight="1" s="221">
      <c r="A74" s="313" t="n"/>
      <c r="B74" s="318" t="n"/>
      <c r="C74" s="316" t="n"/>
      <c r="D74" s="316" t="n"/>
      <c r="E74" s="317" t="n"/>
      <c r="F74" s="317" t="n"/>
      <c r="G74" s="318" t="n"/>
      <c r="H74" s="316" t="n"/>
      <c r="I74" s="301" t="n"/>
      <c r="J74" s="301" t="n"/>
    </row>
    <row r="75" ht="15" customHeight="1" s="221">
      <c r="A75" s="319" t="n"/>
      <c r="B75" s="324" t="n"/>
      <c r="C75" s="322" t="n"/>
      <c r="D75" s="322" t="n"/>
      <c r="E75" s="323" t="n"/>
      <c r="F75" s="323" t="n"/>
      <c r="G75" s="324" t="n"/>
      <c r="H75" s="322" t="n"/>
      <c r="I75" s="301" t="n"/>
      <c r="J75" s="301" t="n"/>
    </row>
    <row r="76" ht="15" customHeight="1" s="221">
      <c r="A76" s="313" t="n"/>
      <c r="B76" s="318" t="n"/>
      <c r="C76" s="316" t="n"/>
      <c r="D76" s="316" t="n"/>
      <c r="E76" s="317" t="n"/>
      <c r="F76" s="317" t="n"/>
      <c r="G76" s="318" t="n"/>
      <c r="H76" s="316" t="n"/>
      <c r="I76" s="301" t="n"/>
      <c r="J76" s="301" t="n"/>
    </row>
    <row r="77" ht="15" customHeight="1" s="221">
      <c r="A77" s="319" t="n"/>
      <c r="B77" s="324" t="n"/>
      <c r="C77" s="322" t="n"/>
      <c r="D77" s="322" t="n"/>
      <c r="E77" s="323" t="n"/>
      <c r="F77" s="323" t="n"/>
      <c r="G77" s="324" t="n"/>
      <c r="H77" s="322" t="n"/>
      <c r="I77" s="301" t="n"/>
      <c r="J77" s="301" t="n"/>
    </row>
    <row r="78" ht="15" customHeight="1" s="221">
      <c r="A78" s="313" t="n"/>
      <c r="B78" s="318" t="n"/>
      <c r="C78" s="316" t="n"/>
      <c r="D78" s="316" t="n"/>
      <c r="E78" s="317" t="n"/>
      <c r="F78" s="317" t="n"/>
      <c r="G78" s="318" t="n"/>
      <c r="H78" s="316" t="n"/>
      <c r="I78" s="301" t="n"/>
      <c r="J78" s="301" t="n"/>
    </row>
    <row r="79" ht="15" customHeight="1" s="221">
      <c r="A79" s="319" t="n"/>
      <c r="B79" s="324" t="n"/>
      <c r="C79" s="322" t="n"/>
      <c r="D79" s="322" t="n"/>
      <c r="E79" s="323" t="n"/>
      <c r="F79" s="323" t="n"/>
      <c r="G79" s="324" t="n"/>
      <c r="H79" s="322" t="n"/>
      <c r="I79" s="301" t="n"/>
      <c r="J79" s="301" t="n"/>
    </row>
    <row r="80" ht="15" customHeight="1" s="221">
      <c r="A80" s="313" t="n"/>
      <c r="B80" s="318" t="n"/>
      <c r="C80" s="316" t="n"/>
      <c r="D80" s="316" t="n"/>
      <c r="E80" s="317" t="n"/>
      <c r="F80" s="317" t="n"/>
      <c r="G80" s="318" t="n"/>
      <c r="H80" s="316" t="n"/>
      <c r="I80" s="301" t="n"/>
      <c r="J80" s="301" t="n"/>
    </row>
    <row r="81" ht="15" customHeight="1" s="221">
      <c r="A81" s="319" t="n"/>
      <c r="B81" s="324" t="n"/>
      <c r="C81" s="322" t="n"/>
      <c r="D81" s="322" t="n"/>
      <c r="E81" s="323" t="n"/>
      <c r="F81" s="323" t="n"/>
      <c r="G81" s="324" t="n"/>
      <c r="H81" s="322" t="n"/>
      <c r="I81" s="301" t="n"/>
      <c r="J81" s="301" t="n"/>
    </row>
    <row r="82" ht="15" customHeight="1" s="221">
      <c r="A82" s="313" t="n"/>
      <c r="B82" s="318" t="n"/>
      <c r="C82" s="316" t="n"/>
      <c r="D82" s="316" t="n"/>
      <c r="E82" s="317" t="n"/>
      <c r="F82" s="317" t="n"/>
      <c r="G82" s="318" t="n"/>
      <c r="H82" s="316" t="n"/>
      <c r="I82" s="301" t="n"/>
      <c r="J82" s="301" t="n"/>
    </row>
    <row r="83" ht="15" customHeight="1" s="221">
      <c r="A83" s="319" t="n"/>
      <c r="B83" s="324" t="n"/>
      <c r="C83" s="322" t="n"/>
      <c r="D83" s="322" t="n"/>
      <c r="E83" s="323" t="n"/>
      <c r="F83" s="323" t="n"/>
      <c r="G83" s="324" t="n"/>
      <c r="H83" s="322" t="n"/>
      <c r="I83" s="301" t="n"/>
      <c r="J83" s="301" t="n"/>
    </row>
    <row r="84" ht="15" customHeight="1" s="221">
      <c r="A84" s="313" t="n"/>
      <c r="B84" s="318" t="n"/>
      <c r="C84" s="316" t="n"/>
      <c r="D84" s="316" t="n"/>
      <c r="E84" s="317" t="n"/>
      <c r="F84" s="317" t="n"/>
      <c r="G84" s="318" t="n"/>
      <c r="H84" s="316" t="n"/>
      <c r="I84" s="301" t="n"/>
      <c r="J84" s="301" t="n"/>
    </row>
    <row r="85" ht="15" customHeight="1" s="221">
      <c r="A85" s="319" t="n"/>
      <c r="B85" s="324" t="n"/>
      <c r="C85" s="322" t="n"/>
      <c r="D85" s="322" t="n"/>
      <c r="E85" s="323" t="n"/>
      <c r="F85" s="323" t="n"/>
      <c r="G85" s="324" t="n"/>
      <c r="H85" s="322" t="n"/>
      <c r="I85" s="301" t="n"/>
      <c r="J85" s="301" t="n"/>
    </row>
    <row r="86" ht="15" customHeight="1" s="221">
      <c r="A86" s="313" t="n"/>
      <c r="B86" s="318" t="n"/>
      <c r="C86" s="316" t="n"/>
      <c r="D86" s="316" t="n"/>
      <c r="E86" s="317" t="n"/>
      <c r="F86" s="317" t="n"/>
      <c r="G86" s="318" t="n"/>
      <c r="H86" s="316" t="n"/>
      <c r="I86" s="301" t="n"/>
      <c r="J86" s="301" t="n"/>
    </row>
    <row r="87" ht="15" customHeight="1" s="221">
      <c r="A87" s="319" t="n"/>
      <c r="B87" s="324" t="n"/>
      <c r="C87" s="322" t="n"/>
      <c r="D87" s="322" t="n"/>
      <c r="E87" s="323" t="n"/>
      <c r="F87" s="323" t="n"/>
      <c r="G87" s="324" t="n"/>
      <c r="H87" s="322" t="n"/>
      <c r="I87" s="301" t="n"/>
      <c r="J87" s="301" t="n"/>
    </row>
    <row r="88" ht="15" customHeight="1" s="221">
      <c r="A88" s="313" t="n"/>
      <c r="B88" s="318" t="n"/>
      <c r="C88" s="316" t="n"/>
      <c r="D88" s="316" t="n"/>
      <c r="E88" s="317" t="n"/>
      <c r="F88" s="317" t="n"/>
      <c r="G88" s="318" t="n"/>
      <c r="H88" s="316" t="n"/>
      <c r="I88" s="301" t="n"/>
      <c r="J88" s="301" t="n"/>
    </row>
    <row r="89" ht="15" customHeight="1" s="221">
      <c r="A89" s="319" t="n"/>
      <c r="B89" s="324" t="n"/>
      <c r="C89" s="322" t="n"/>
      <c r="D89" s="322" t="n"/>
      <c r="E89" s="323" t="n"/>
      <c r="F89" s="323" t="n"/>
      <c r="G89" s="324" t="n"/>
      <c r="H89" s="322" t="n"/>
      <c r="I89" s="301" t="n"/>
      <c r="J89" s="301" t="n"/>
    </row>
    <row r="90" ht="15" customHeight="1" s="221">
      <c r="A90" s="313" t="n"/>
      <c r="B90" s="318" t="n"/>
      <c r="C90" s="316" t="n"/>
      <c r="D90" s="316" t="n"/>
      <c r="E90" s="317" t="n"/>
      <c r="F90" s="317" t="n"/>
      <c r="G90" s="318" t="n"/>
      <c r="H90" s="316" t="n"/>
      <c r="I90" s="301" t="n"/>
      <c r="J90" s="301" t="n"/>
    </row>
    <row r="91" ht="15" customHeight="1" s="221">
      <c r="A91" s="319" t="n"/>
      <c r="B91" s="324" t="n"/>
      <c r="C91" s="322" t="n"/>
      <c r="D91" s="322" t="n"/>
      <c r="E91" s="323" t="n"/>
      <c r="F91" s="323" t="n"/>
      <c r="G91" s="324" t="n"/>
      <c r="H91" s="322" t="n"/>
      <c r="I91" s="301" t="n"/>
      <c r="J91" s="301" t="n"/>
    </row>
    <row r="92" ht="15" customHeight="1" s="221">
      <c r="A92" s="313" t="n"/>
      <c r="B92" s="318" t="n"/>
      <c r="C92" s="316" t="n"/>
      <c r="D92" s="316" t="n"/>
      <c r="E92" s="317" t="n"/>
      <c r="F92" s="317" t="n"/>
      <c r="G92" s="318" t="n"/>
      <c r="H92" s="316" t="n"/>
      <c r="I92" s="301" t="n"/>
      <c r="J92" s="301" t="n"/>
    </row>
    <row r="93" ht="15" customHeight="1" s="221">
      <c r="A93" s="319" t="n"/>
      <c r="B93" s="324" t="n"/>
      <c r="C93" s="322" t="n"/>
      <c r="D93" s="322" t="n"/>
      <c r="E93" s="323" t="n"/>
      <c r="F93" s="323" t="n"/>
      <c r="G93" s="324" t="n"/>
      <c r="H93" s="322" t="n"/>
      <c r="I93" s="301" t="n"/>
      <c r="J93" s="301" t="n"/>
    </row>
    <row r="94" ht="15" customHeight="1" s="221">
      <c r="A94" s="313" t="n"/>
      <c r="B94" s="318" t="n"/>
      <c r="C94" s="316" t="n"/>
      <c r="D94" s="316" t="n"/>
      <c r="E94" s="317" t="n"/>
      <c r="F94" s="317" t="n"/>
      <c r="G94" s="318" t="n"/>
      <c r="H94" s="316" t="n"/>
      <c r="I94" s="301" t="n"/>
      <c r="J94" s="301" t="n"/>
    </row>
    <row r="95" ht="15" customHeight="1" s="221">
      <c r="A95" s="319" t="n"/>
      <c r="B95" s="324" t="n"/>
      <c r="C95" s="322" t="n"/>
      <c r="D95" s="322" t="n"/>
      <c r="E95" s="323" t="n"/>
      <c r="F95" s="323" t="n"/>
      <c r="G95" s="324" t="n"/>
      <c r="H95" s="322" t="n"/>
      <c r="I95" s="301" t="n"/>
      <c r="J95" s="301" t="n"/>
    </row>
    <row r="96" ht="15" customHeight="1" s="221">
      <c r="A96" s="313" t="n"/>
      <c r="B96" s="318" t="n"/>
      <c r="C96" s="316" t="n"/>
      <c r="D96" s="316" t="n"/>
      <c r="E96" s="317" t="n"/>
      <c r="F96" s="317" t="n"/>
      <c r="G96" s="318" t="n"/>
      <c r="H96" s="316" t="n"/>
      <c r="I96" s="301" t="n"/>
      <c r="J96" s="301" t="n"/>
    </row>
    <row r="97" ht="15" customHeight="1" s="221">
      <c r="A97" s="319" t="n"/>
      <c r="B97" s="324" t="n"/>
      <c r="C97" s="322" t="n"/>
      <c r="D97" s="322" t="n"/>
      <c r="E97" s="323" t="n"/>
      <c r="F97" s="323" t="n"/>
      <c r="G97" s="324" t="n"/>
      <c r="H97" s="322" t="n"/>
      <c r="I97" s="301" t="n"/>
      <c r="J97" s="301" t="n"/>
    </row>
    <row r="98" ht="15" customHeight="1" s="221">
      <c r="A98" s="313" t="n"/>
      <c r="B98" s="318" t="n"/>
      <c r="C98" s="316" t="n"/>
      <c r="D98" s="316" t="n"/>
      <c r="E98" s="317" t="n"/>
      <c r="F98" s="317" t="n"/>
      <c r="G98" s="318" t="n"/>
      <c r="H98" s="316" t="n"/>
      <c r="I98" s="301" t="n"/>
      <c r="J98" s="301" t="n"/>
    </row>
    <row r="99" ht="15" customHeight="1" s="221">
      <c r="A99" s="319" t="n"/>
      <c r="B99" s="324" t="n"/>
      <c r="C99" s="322" t="n"/>
      <c r="D99" s="322" t="n"/>
      <c r="E99" s="323" t="n"/>
      <c r="F99" s="323" t="n"/>
      <c r="G99" s="324" t="n"/>
      <c r="H99" s="322" t="n"/>
      <c r="I99" s="301" t="n"/>
      <c r="J99" s="301" t="n"/>
    </row>
    <row r="100" ht="15" customHeight="1" s="221">
      <c r="A100" s="313" t="n"/>
      <c r="B100" s="318" t="n"/>
      <c r="C100" s="316" t="n"/>
      <c r="D100" s="316" t="n"/>
      <c r="E100" s="317" t="n"/>
      <c r="F100" s="317" t="n"/>
      <c r="G100" s="318" t="n"/>
      <c r="H100" s="316" t="n"/>
      <c r="I100" s="301" t="n"/>
      <c r="J100" s="301" t="n"/>
    </row>
    <row r="101" ht="15" customHeight="1" s="221">
      <c r="A101" s="319" t="n"/>
      <c r="B101" s="324" t="n"/>
      <c r="C101" s="322" t="n"/>
      <c r="D101" s="322" t="n"/>
      <c r="E101" s="323" t="n"/>
      <c r="F101" s="323" t="n"/>
      <c r="G101" s="324" t="n"/>
      <c r="H101" s="322" t="n"/>
      <c r="I101" s="301" t="n"/>
      <c r="J101" s="301" t="n"/>
    </row>
    <row r="102" ht="15" customHeight="1" s="221">
      <c r="A102" s="313" t="n"/>
      <c r="B102" s="318" t="n"/>
      <c r="C102" s="316" t="n"/>
      <c r="D102" s="316" t="n"/>
      <c r="E102" s="317" t="n"/>
      <c r="F102" s="317" t="n"/>
      <c r="G102" s="318" t="n"/>
      <c r="H102" s="316" t="n"/>
      <c r="I102" s="301" t="n"/>
      <c r="J102" s="301" t="n"/>
    </row>
    <row r="103" ht="15" customHeight="1" s="221">
      <c r="A103" s="319" t="n"/>
      <c r="B103" s="324" t="n"/>
      <c r="C103" s="322" t="n"/>
      <c r="D103" s="322" t="n"/>
      <c r="E103" s="323" t="n"/>
      <c r="F103" s="323" t="n"/>
      <c r="G103" s="324" t="n"/>
      <c r="H103" s="322" t="n"/>
      <c r="I103" s="301" t="n"/>
      <c r="J103" s="301" t="n"/>
    </row>
    <row r="104" ht="15" customHeight="1" s="221">
      <c r="A104" s="325" t="inlineStr">
        <is>
          <t>TOTALES</t>
        </is>
      </c>
      <c r="E104" s="326">
        <f>SUM(E4:E103)</f>
        <v/>
      </c>
      <c r="F104" s="327">
        <f>SUM(F4:F103)</f>
        <v/>
      </c>
      <c r="G104" s="301" t="n"/>
      <c r="H104" s="301" t="n"/>
      <c r="I104" s="301" t="n"/>
      <c r="J104" s="301" t="n"/>
    </row>
    <row r="105" ht="18" customHeight="1" s="221">
      <c r="A105" s="301" t="n"/>
      <c r="B105" s="301" t="n"/>
      <c r="C105" s="301" t="n"/>
      <c r="D105" s="301" t="n"/>
      <c r="E105" s="328" t="n"/>
      <c r="F105" s="301" t="n"/>
      <c r="G105" s="301" t="n"/>
      <c r="H105" s="301" t="n"/>
      <c r="I105" s="301" t="n"/>
      <c r="J105" s="301" t="n"/>
    </row>
    <row r="106" ht="15" customHeight="1" s="221">
      <c r="A106" s="310" t="inlineStr">
        <is>
          <t>📊 RESUMEN DEL MES</t>
        </is>
      </c>
      <c r="D106" s="301" t="n"/>
      <c r="E106" s="328" t="n"/>
      <c r="F106" s="301" t="n"/>
      <c r="G106" s="301" t="n"/>
      <c r="H106" s="301" t="n"/>
      <c r="I106" s="301" t="n"/>
      <c r="J106" s="301" t="n"/>
    </row>
    <row r="107" ht="15" customHeight="1" s="221">
      <c r="A107" s="223" t="inlineStr">
        <is>
          <t>INGRESOS:</t>
        </is>
      </c>
      <c r="B107" s="301" t="n"/>
      <c r="C107" s="328">
        <f>SUMIF(B4:B103,"Ingreso NT",E4:E103)</f>
        <v/>
      </c>
      <c r="D107" s="301" t="n"/>
      <c r="E107" s="328" t="n"/>
      <c r="F107" s="301" t="n"/>
      <c r="G107" s="301" t="n"/>
      <c r="H107" s="301" t="n"/>
      <c r="I107" s="301" t="n"/>
      <c r="J107" s="301" t="n"/>
    </row>
    <row r="108" ht="15" customHeight="1" s="221">
      <c r="A108" s="301" t="inlineStr">
        <is>
          <t xml:space="preserve">  Ingreso NT:</t>
        </is>
      </c>
      <c r="B108" s="301" t="n"/>
      <c r="C108" s="329">
        <f>SUMIF(B4:B103,"Ingreso NT",E4:E103)</f>
        <v/>
      </c>
      <c r="D108" s="301" t="n"/>
      <c r="E108" s="328" t="n"/>
      <c r="F108" s="301" t="n"/>
      <c r="G108" s="301" t="n"/>
      <c r="H108" s="301" t="n"/>
      <c r="I108" s="301" t="n"/>
      <c r="J108" s="301" t="n"/>
    </row>
    <row r="109" ht="15" customHeight="1" s="221">
      <c r="A109" s="301" t="inlineStr">
        <is>
          <t xml:space="preserve">  Ingreso Marco:</t>
        </is>
      </c>
      <c r="B109" s="301" t="n"/>
      <c r="C109" s="330">
        <f>SUMIF(B4:B103,"Ingreso Marco",E4:E103)</f>
        <v/>
      </c>
      <c r="D109" s="301" t="n"/>
      <c r="E109" s="328" t="n"/>
      <c r="F109" s="301" t="n"/>
      <c r="G109" s="301" t="n"/>
      <c r="H109" s="301" t="n"/>
      <c r="I109" s="301" t="n"/>
      <c r="J109" s="301" t="n"/>
    </row>
    <row r="110" ht="15" customHeight="1" s="221">
      <c r="A110" s="301" t="inlineStr">
        <is>
          <t xml:space="preserve">  Ingreso Clara:</t>
        </is>
      </c>
      <c r="B110" s="301" t="n"/>
      <c r="C110" s="331">
        <f>SUMIF(B4:B103,"Ingreso Clara",E4:E103)</f>
        <v/>
      </c>
      <c r="D110" s="301" t="n"/>
      <c r="E110" s="328" t="n"/>
      <c r="F110" s="301" t="n"/>
      <c r="G110" s="301" t="n"/>
      <c r="H110" s="301" t="n"/>
      <c r="I110" s="301" t="n"/>
      <c r="J110" s="301" t="n"/>
    </row>
    <row r="111" ht="15" customHeight="1" s="221">
      <c r="A111" s="301" t="inlineStr">
        <is>
          <t xml:space="preserve">  Devolución Fam → NT:</t>
        </is>
      </c>
      <c r="B111" s="301" t="n"/>
      <c r="C111" s="332">
        <f>SUMIF(B4:B103,"Devolución Familia → NT",E4:E103)</f>
        <v/>
      </c>
      <c r="D111" s="301" t="n"/>
      <c r="E111" s="328" t="n"/>
      <c r="F111" s="301" t="n"/>
      <c r="G111" s="301" t="n"/>
      <c r="H111" s="301" t="n"/>
      <c r="I111" s="301" t="n"/>
      <c r="J111" s="301" t="n"/>
    </row>
    <row r="112" ht="15" customHeight="1" s="221">
      <c r="A112" s="223" t="inlineStr">
        <is>
          <t xml:space="preserve">  TOTAL INGRESOS:</t>
        </is>
      </c>
      <c r="B112" s="301" t="n"/>
      <c r="C112" s="333">
        <f>SUM(C108:C111)</f>
        <v/>
      </c>
      <c r="D112" s="301" t="n"/>
      <c r="E112" s="328" t="n"/>
      <c r="F112" s="301" t="n"/>
      <c r="G112" s="301" t="n"/>
      <c r="H112" s="301" t="n"/>
      <c r="I112" s="301" t="n"/>
      <c r="J112" s="301" t="n"/>
    </row>
    <row r="113" ht="15" customHeight="1" s="221">
      <c r="A113" s="301" t="inlineStr">
        <is>
          <t>EGRESOS:</t>
        </is>
      </c>
      <c r="B113" s="301" t="n"/>
      <c r="C113" s="301" t="n"/>
      <c r="D113" s="301" t="n"/>
      <c r="E113" s="328" t="n"/>
      <c r="F113" s="301" t="n"/>
      <c r="G113" s="301" t="n"/>
      <c r="H113" s="301" t="n"/>
      <c r="I113" s="301" t="n"/>
      <c r="J113" s="301" t="n"/>
    </row>
    <row r="114" ht="15" customHeight="1" s="221">
      <c r="A114" s="223" t="inlineStr">
        <is>
          <t>EGRESOS:</t>
        </is>
      </c>
      <c r="B114" s="301" t="n"/>
      <c r="C114" s="328">
        <f>SUMIF(B4:B103,"Egreso NT",F4:F103)</f>
        <v/>
      </c>
      <c r="D114" s="301" t="n"/>
      <c r="E114" s="328" t="n"/>
      <c r="F114" s="301" t="n"/>
      <c r="G114" s="301" t="n"/>
      <c r="H114" s="301" t="n"/>
      <c r="I114" s="301" t="n"/>
      <c r="J114" s="301" t="n"/>
    </row>
    <row r="115" ht="15" customHeight="1" s="221">
      <c r="A115" s="301" t="inlineStr">
        <is>
          <t xml:space="preserve">  Egreso NT:</t>
        </is>
      </c>
      <c r="B115" s="301" t="n"/>
      <c r="C115" s="334">
        <f>SUMIF(B4:B103,"Egreso NT",F4:F103)</f>
        <v/>
      </c>
      <c r="D115" s="301" t="n"/>
      <c r="E115" s="328" t="n"/>
      <c r="F115" s="301" t="n"/>
      <c r="G115" s="301" t="n"/>
      <c r="H115" s="301" t="n"/>
      <c r="I115" s="301" t="n"/>
      <c r="J115" s="301" t="n"/>
    </row>
    <row r="116" ht="15" customHeight="1" s="221">
      <c r="A116" s="301" t="inlineStr">
        <is>
          <t xml:space="preserve">  Egreso Familiar:</t>
        </is>
      </c>
      <c r="B116" s="301" t="n"/>
      <c r="C116" s="335">
        <f>SUMIF(B4:B103,"Egreso Familiar",F4:F103)</f>
        <v/>
      </c>
      <c r="D116" s="301" t="n"/>
      <c r="E116" s="328" t="n"/>
      <c r="F116" s="301" t="n"/>
      <c r="G116" s="301" t="n"/>
      <c r="H116" s="301" t="n"/>
      <c r="I116" s="301" t="n"/>
      <c r="J116" s="301" t="n"/>
    </row>
    <row r="117" ht="15" customHeight="1" s="221">
      <c r="A117" s="301" t="inlineStr">
        <is>
          <t xml:space="preserve">  Préstamo NT → Fam:</t>
        </is>
      </c>
      <c r="B117" s="301" t="n"/>
      <c r="C117" s="336">
        <f>SUMIF(B4:B103,"Préstamo NT → Familia",F4:F103)</f>
        <v/>
      </c>
      <c r="D117" s="301" t="n"/>
      <c r="E117" s="328" t="n"/>
      <c r="F117" s="301" t="n"/>
      <c r="G117" s="301" t="n"/>
      <c r="H117" s="301" t="n"/>
      <c r="I117" s="301" t="n"/>
      <c r="J117" s="301" t="n"/>
    </row>
    <row r="118" ht="15" customHeight="1" s="221">
      <c r="A118" s="223" t="inlineStr">
        <is>
          <t xml:space="preserve">  TOTAL EGRESOS:</t>
        </is>
      </c>
      <c r="B118" s="301" t="n"/>
      <c r="C118" s="337">
        <f>SUM(C115:C117)</f>
        <v/>
      </c>
      <c r="D118" s="301" t="n"/>
      <c r="E118" s="328" t="n"/>
      <c r="F118" s="301" t="n"/>
      <c r="G118" s="301" t="n"/>
      <c r="H118" s="301" t="n"/>
      <c r="I118" s="301" t="n"/>
      <c r="J118" s="301" t="n"/>
    </row>
    <row r="119" ht="15" customHeight="1" s="221">
      <c r="A119" s="301" t="n"/>
      <c r="B119" s="301" t="n"/>
      <c r="C119" s="301" t="n"/>
      <c r="D119" s="301" t="n"/>
      <c r="E119" s="328" t="n"/>
      <c r="F119" s="301" t="n"/>
      <c r="G119" s="301" t="n"/>
      <c r="H119" s="301" t="n"/>
      <c r="I119" s="301" t="n"/>
      <c r="J119" s="301" t="n"/>
    </row>
    <row r="120" ht="15" customHeight="1" s="221">
      <c r="A120" s="223" t="inlineStr">
        <is>
          <t>SALDO PRÉSTAMO NT → FAM:</t>
        </is>
      </c>
      <c r="B120" s="301" t="n"/>
      <c r="C120" s="338">
        <f>C117-C111</f>
        <v/>
      </c>
      <c r="D120" s="301" t="n"/>
      <c r="E120" s="328" t="n"/>
      <c r="F120" s="301" t="n"/>
      <c r="G120" s="301" t="n"/>
      <c r="H120" s="301" t="n"/>
      <c r="I120" s="301" t="n"/>
      <c r="J120" s="301" t="n"/>
    </row>
    <row r="121" ht="15" customHeight="1" s="221">
      <c r="A121" s="339" t="inlineStr">
        <is>
          <t>(Prestado - Devuelto)</t>
        </is>
      </c>
      <c r="B121" s="301" t="n"/>
      <c r="C121" s="301" t="n"/>
      <c r="D121" s="301" t="n"/>
      <c r="E121" s="328" t="n"/>
      <c r="F121" s="301" t="n"/>
      <c r="G121" s="301" t="n"/>
      <c r="H121" s="301" t="n"/>
      <c r="I121" s="301" t="n"/>
      <c r="J121" s="301" t="n"/>
    </row>
    <row r="122" ht="15" customHeight="1" s="221">
      <c r="A122" s="301" t="n"/>
      <c r="B122" s="301" t="n"/>
      <c r="C122" s="301" t="n"/>
      <c r="D122" s="301" t="n"/>
      <c r="E122" s="328" t="n"/>
      <c r="F122" s="301" t="n"/>
      <c r="G122" s="301" t="n"/>
      <c r="H122" s="301" t="n"/>
      <c r="I122" s="301" t="n"/>
      <c r="J122" s="301" t="n"/>
    </row>
    <row r="123" ht="15" customHeight="1" s="221">
      <c r="A123" s="301" t="n"/>
      <c r="B123" s="301" t="n"/>
      <c r="C123" s="301" t="n"/>
      <c r="D123" s="301" t="n"/>
      <c r="E123" s="328" t="n"/>
      <c r="F123" s="301" t="n"/>
      <c r="G123" s="301" t="n"/>
      <c r="H123" s="301" t="n"/>
      <c r="I123" s="301" t="n"/>
      <c r="J123" s="301" t="n"/>
    </row>
    <row r="124" ht="15" customHeight="1" s="221">
      <c r="A124" s="301" t="n"/>
      <c r="B124" s="301" t="n"/>
      <c r="C124" s="301" t="n"/>
      <c r="D124" s="301" t="n"/>
      <c r="E124" s="328" t="n"/>
      <c r="F124" s="301" t="n"/>
      <c r="G124" s="301" t="n"/>
      <c r="H124" s="301" t="n"/>
      <c r="I124" s="301" t="n"/>
      <c r="J124" s="301" t="n"/>
    </row>
    <row r="125" ht="15" customHeight="1" s="221">
      <c r="A125" s="301" t="n"/>
      <c r="B125" s="301" t="n"/>
      <c r="C125" s="301" t="n"/>
      <c r="D125" s="301" t="n"/>
      <c r="E125" s="328" t="n"/>
      <c r="F125" s="301" t="n"/>
      <c r="G125" s="301" t="n"/>
      <c r="H125" s="301" t="n"/>
      <c r="I125" s="301" t="n"/>
      <c r="J125" s="301" t="n"/>
    </row>
    <row r="126" ht="15" customHeight="1" s="221">
      <c r="A126" s="301" t="n"/>
      <c r="B126" s="301" t="n"/>
      <c r="C126" s="301" t="n"/>
      <c r="D126" s="301" t="n"/>
      <c r="E126" s="328" t="n"/>
      <c r="F126" s="301" t="n"/>
      <c r="G126" s="301" t="n"/>
      <c r="H126" s="301" t="n"/>
      <c r="I126" s="301" t="n"/>
      <c r="J126" s="301" t="n"/>
    </row>
    <row r="127" ht="15" customHeight="1" s="221">
      <c r="A127" s="301" t="n"/>
      <c r="B127" s="301" t="n"/>
      <c r="C127" s="301" t="n"/>
      <c r="D127" s="301" t="n"/>
      <c r="E127" s="328" t="n"/>
      <c r="F127" s="301" t="n"/>
      <c r="G127" s="301" t="n"/>
      <c r="H127" s="301" t="n"/>
      <c r="I127" s="301" t="n"/>
      <c r="J127" s="301" t="n"/>
    </row>
    <row r="128" ht="15" customHeight="1" s="221">
      <c r="A128" s="301" t="n"/>
      <c r="B128" s="301" t="n"/>
      <c r="C128" s="301" t="n"/>
      <c r="D128" s="301" t="n"/>
      <c r="E128" s="328" t="n"/>
      <c r="F128" s="301" t="n"/>
      <c r="G128" s="301" t="n"/>
      <c r="H128" s="301" t="n"/>
      <c r="I128" s="301" t="n"/>
      <c r="J128" s="301" t="n"/>
    </row>
    <row r="129" ht="15" customHeight="1" s="221">
      <c r="A129" s="301" t="n"/>
      <c r="B129" s="301" t="n"/>
      <c r="C129" s="301" t="n"/>
      <c r="D129" s="301" t="n"/>
      <c r="E129" s="328" t="n"/>
      <c r="F129" s="301" t="n"/>
      <c r="G129" s="301" t="n"/>
      <c r="H129" s="301" t="n"/>
      <c r="I129" s="301" t="n"/>
      <c r="J129" s="301" t="n"/>
    </row>
    <row r="130" ht="15" customHeight="1" s="221">
      <c r="A130" s="301" t="n"/>
      <c r="B130" s="301" t="n"/>
      <c r="C130" s="301" t="n"/>
      <c r="D130" s="301" t="n"/>
      <c r="E130" s="328" t="n"/>
      <c r="F130" s="301" t="n"/>
      <c r="G130" s="301" t="n"/>
      <c r="H130" s="301" t="n"/>
      <c r="I130" s="301" t="n"/>
      <c r="J130" s="301" t="n"/>
    </row>
    <row r="131" ht="15" customHeight="1" s="221">
      <c r="A131" s="301" t="n"/>
      <c r="B131" s="301" t="n"/>
      <c r="C131" s="301" t="n"/>
      <c r="D131" s="301" t="n"/>
      <c r="E131" s="328" t="n"/>
      <c r="F131" s="301" t="n"/>
      <c r="G131" s="301" t="n"/>
      <c r="H131" s="301" t="n"/>
      <c r="I131" s="301" t="n"/>
      <c r="J131" s="301" t="n"/>
    </row>
    <row r="132" ht="15" customHeight="1" s="221">
      <c r="A132" s="301" t="n"/>
      <c r="B132" s="301" t="n"/>
      <c r="C132" s="301" t="n"/>
      <c r="D132" s="301" t="n"/>
      <c r="E132" s="328" t="n"/>
      <c r="F132" s="301" t="n"/>
      <c r="G132" s="301" t="n"/>
      <c r="H132" s="301" t="n"/>
      <c r="I132" s="301" t="n"/>
      <c r="J132" s="301" t="n"/>
    </row>
    <row r="133" ht="15" customHeight="1" s="221">
      <c r="A133" s="301" t="n"/>
      <c r="B133" s="301" t="n"/>
      <c r="C133" s="301" t="n"/>
      <c r="D133" s="301" t="n"/>
      <c r="E133" s="328" t="n"/>
      <c r="F133" s="301" t="n"/>
      <c r="G133" s="301" t="n"/>
      <c r="H133" s="301" t="n"/>
      <c r="I133" s="301" t="n"/>
      <c r="J133" s="301" t="n"/>
    </row>
    <row r="134" ht="15" customHeight="1" s="221">
      <c r="A134" s="301" t="n"/>
      <c r="B134" s="301" t="n"/>
      <c r="C134" s="301" t="n"/>
      <c r="D134" s="301" t="n"/>
      <c r="E134" s="328" t="n"/>
      <c r="F134" s="301" t="n"/>
      <c r="G134" s="301" t="n"/>
      <c r="H134" s="301" t="n"/>
      <c r="I134" s="301" t="n"/>
      <c r="J134" s="301" t="n"/>
    </row>
    <row r="135" ht="15" customHeight="1" s="221">
      <c r="A135" s="301" t="n"/>
      <c r="B135" s="301" t="n"/>
      <c r="C135" s="301" t="n"/>
      <c r="D135" s="301" t="n"/>
      <c r="E135" s="328" t="n"/>
      <c r="F135" s="301" t="n"/>
      <c r="G135" s="301" t="n"/>
      <c r="H135" s="301" t="n"/>
      <c r="I135" s="301" t="n"/>
      <c r="J135" s="301" t="n"/>
    </row>
    <row r="136" ht="15" customHeight="1" s="221">
      <c r="A136" s="301" t="n"/>
      <c r="B136" s="301" t="n"/>
      <c r="C136" s="301" t="n"/>
      <c r="D136" s="301" t="n"/>
      <c r="E136" s="328" t="n"/>
      <c r="F136" s="301" t="n"/>
      <c r="G136" s="301" t="n"/>
      <c r="H136" s="301" t="n"/>
      <c r="I136" s="301" t="n"/>
      <c r="J136" s="301" t="n"/>
    </row>
    <row r="137" ht="15" customHeight="1" s="221">
      <c r="A137" s="301" t="n"/>
      <c r="B137" s="301" t="n"/>
      <c r="C137" s="301" t="n"/>
      <c r="D137" s="301" t="n"/>
      <c r="E137" s="328" t="n"/>
      <c r="F137" s="301" t="n"/>
      <c r="G137" s="301" t="n"/>
      <c r="H137" s="301" t="n"/>
      <c r="I137" s="301" t="n"/>
      <c r="J137" s="301" t="n"/>
    </row>
    <row r="138" ht="15" customHeight="1" s="221">
      <c r="A138" s="301" t="n"/>
      <c r="B138" s="301" t="n"/>
      <c r="C138" s="301" t="n"/>
      <c r="D138" s="301" t="n"/>
      <c r="E138" s="328" t="n"/>
      <c r="F138" s="301" t="n"/>
      <c r="G138" s="301" t="n"/>
      <c r="H138" s="301" t="n"/>
      <c r="I138" s="301" t="n"/>
      <c r="J138" s="301" t="n"/>
    </row>
    <row r="139" ht="15" customHeight="1" s="221">
      <c r="A139" s="301" t="n"/>
      <c r="B139" s="301" t="n"/>
      <c r="C139" s="301" t="n"/>
      <c r="D139" s="301" t="n"/>
      <c r="E139" s="301" t="n"/>
      <c r="F139" s="301" t="n"/>
      <c r="G139" s="301" t="n"/>
      <c r="H139" s="301" t="n"/>
      <c r="I139" s="301" t="n"/>
      <c r="J139" s="301" t="n"/>
    </row>
    <row r="140" ht="15" customHeight="1" s="221">
      <c r="A140" s="301" t="n"/>
      <c r="B140" s="301" t="n"/>
      <c r="C140" s="301" t="n"/>
      <c r="D140" s="301" t="n"/>
      <c r="E140" s="301" t="n"/>
      <c r="F140" s="301" t="n"/>
      <c r="G140" s="301" t="n"/>
      <c r="H140" s="301" t="n"/>
      <c r="I140" s="301" t="n"/>
      <c r="J140" s="301" t="n"/>
    </row>
    <row r="141" ht="15" customHeight="1" s="221">
      <c r="A141" s="301" t="n"/>
      <c r="B141" s="301" t="n"/>
      <c r="C141" s="301" t="n"/>
      <c r="D141" s="301" t="n"/>
      <c r="E141" s="301" t="n"/>
      <c r="F141" s="301" t="n"/>
      <c r="G141" s="301" t="n"/>
      <c r="H141" s="301" t="n"/>
      <c r="I141" s="301" t="n"/>
      <c r="J141" s="301" t="n"/>
    </row>
    <row r="142" ht="15" customHeight="1" s="221">
      <c r="A142" s="301" t="n"/>
      <c r="B142" s="301" t="n"/>
      <c r="C142" s="301" t="n"/>
      <c r="D142" s="301" t="n"/>
      <c r="E142" s="301" t="n"/>
      <c r="F142" s="301" t="n"/>
      <c r="G142" s="301" t="n"/>
      <c r="H142" s="301" t="n"/>
      <c r="I142" s="301" t="n"/>
      <c r="J142" s="301" t="n"/>
    </row>
    <row r="143" ht="15" customHeight="1" s="221">
      <c r="A143" s="301" t="n"/>
      <c r="B143" s="301" t="n"/>
      <c r="C143" s="301" t="n"/>
      <c r="D143" s="301" t="n"/>
      <c r="E143" s="301" t="n"/>
      <c r="F143" s="301" t="n"/>
      <c r="G143" s="301" t="n"/>
      <c r="H143" s="301" t="n"/>
      <c r="I143" s="301" t="n"/>
      <c r="J143" s="301" t="n"/>
    </row>
    <row r="144" ht="15" customHeight="1" s="221">
      <c r="A144" s="301" t="n"/>
      <c r="B144" s="301" t="n"/>
      <c r="C144" s="301" t="n"/>
      <c r="D144" s="301" t="n"/>
      <c r="E144" s="301" t="n"/>
      <c r="F144" s="301" t="n"/>
      <c r="G144" s="301" t="n"/>
      <c r="H144" s="301" t="n"/>
      <c r="I144" s="301" t="n"/>
      <c r="J144" s="301" t="n"/>
    </row>
    <row r="145" ht="15" customHeight="1" s="221">
      <c r="A145" s="301" t="n"/>
      <c r="B145" s="301" t="n"/>
      <c r="C145" s="301" t="n"/>
      <c r="D145" s="301" t="n"/>
      <c r="E145" s="301" t="n"/>
      <c r="F145" s="301" t="n"/>
      <c r="G145" s="301" t="n"/>
      <c r="H145" s="301" t="n"/>
      <c r="I145" s="301" t="n"/>
      <c r="J145" s="301" t="n"/>
    </row>
    <row r="146" ht="15" customHeight="1" s="221">
      <c r="A146" s="301" t="n"/>
      <c r="B146" s="301" t="n"/>
      <c r="C146" s="301" t="n"/>
      <c r="D146" s="301" t="n"/>
      <c r="E146" s="301" t="n"/>
      <c r="F146" s="301" t="n"/>
      <c r="G146" s="301" t="n"/>
      <c r="H146" s="301" t="n"/>
      <c r="I146" s="301" t="n"/>
      <c r="J146" s="301" t="n"/>
    </row>
    <row r="147" ht="15" customHeight="1" s="221">
      <c r="A147" s="301" t="n"/>
      <c r="B147" s="301" t="n"/>
      <c r="C147" s="301" t="n"/>
      <c r="D147" s="301" t="n"/>
      <c r="E147" s="301" t="n"/>
      <c r="F147" s="301" t="n"/>
      <c r="G147" s="301" t="n"/>
      <c r="H147" s="301" t="n"/>
      <c r="I147" s="301" t="n"/>
      <c r="J147" s="301" t="n"/>
    </row>
    <row r="148" ht="15" customHeight="1" s="221">
      <c r="A148" s="301" t="n"/>
      <c r="B148" s="301" t="n"/>
      <c r="C148" s="301" t="n"/>
      <c r="D148" s="301" t="n"/>
      <c r="E148" s="301" t="n"/>
      <c r="F148" s="301" t="n"/>
      <c r="G148" s="301" t="n"/>
      <c r="H148" s="301" t="n"/>
      <c r="I148" s="301" t="n"/>
      <c r="J148" s="301" t="n"/>
    </row>
    <row r="149" ht="15" customHeight="1" s="221">
      <c r="A149" s="301" t="n"/>
      <c r="B149" s="301" t="n"/>
      <c r="C149" s="301" t="n"/>
      <c r="D149" s="301" t="n"/>
      <c r="E149" s="301" t="n"/>
      <c r="F149" s="301" t="n"/>
      <c r="G149" s="301" t="n"/>
      <c r="H149" s="301" t="n"/>
      <c r="I149" s="301" t="n"/>
      <c r="J149" s="301" t="n"/>
    </row>
    <row r="150" ht="15" customHeight="1" s="221">
      <c r="A150" s="301" t="n"/>
      <c r="B150" s="301" t="n"/>
      <c r="C150" s="301" t="n"/>
      <c r="D150" s="301" t="n"/>
      <c r="E150" s="301" t="n"/>
      <c r="F150" s="301" t="n"/>
      <c r="G150" s="301" t="n"/>
      <c r="H150" s="301" t="n"/>
      <c r="I150" s="301" t="n"/>
      <c r="J150" s="301" t="n"/>
    </row>
  </sheetData>
  <mergeCells count="3">
    <mergeCell ref="A104:D104"/>
    <mergeCell ref="A106:C106"/>
    <mergeCell ref="A1:H1"/>
  </mergeCells>
  <dataValidations count="2">
    <dataValidation sqref="B4:B103" showDropDown="0" showInputMessage="0" showErrorMessage="0" allowBlank="1" type="list" errorStyle="stop" operator="between">
      <formula1>"Familiar,NeuroTEA"</formula1>
      <formula2>0</formula2>
    </dataValidation>
    <dataValidation sqref="C4:C103" showDropDown="0" showInputMessage="0" showErrorMessage="0" allowBlank="1" type="list" errorStyle="stop" operator="between">
      <formula1>"Combustible,Supermercado,Farmacia,Recreación,Gastos Varios,Reserva Fam 1,Reserva Fam 2,Reserva Fam 3,Insumos NT,Papelería NT,Mantenimiento NT,Festejos NT,Gastos Cursos NT,Gastos Varios NT,Reserva NT 1,Reserva NT 2,Reserva NT 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E74C3C"/>
    <outlinePr summaryBelow="1" summaryRight="1"/>
    <pageSetUpPr fitToPage="0"/>
  </sheetPr>
  <dimension ref="A1:L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24" customWidth="1" style="220" min="1" max="1"/>
    <col width="12" customWidth="1" style="220" min="2" max="2"/>
    <col width="14" customWidth="1" style="220" min="3" max="4"/>
    <col width="2" customWidth="1" style="220" min="5" max="6"/>
    <col width="24" customWidth="1" style="220" min="7" max="7"/>
    <col width="12" customWidth="1" style="220" min="8" max="8"/>
    <col width="14" customWidth="1" style="220" min="9" max="10"/>
  </cols>
  <sheetData>
    <row r="1" ht="34.5" customHeight="1" s="221">
      <c r="A1" s="340" t="inlineStr">
        <is>
          <t>📊 CONTROL FINANCIERO - ABRIL 2026</t>
        </is>
      </c>
      <c r="K1" s="301" t="n"/>
      <c r="L1" s="301" t="n"/>
    </row>
    <row r="2" ht="15" customHeight="1" s="221">
      <c r="A2" s="301" t="n"/>
      <c r="B2" s="301" t="n"/>
      <c r="C2" s="301" t="n"/>
      <c r="D2" s="301" t="n"/>
      <c r="E2" s="301" t="n"/>
      <c r="F2" s="301" t="n"/>
      <c r="G2" s="301" t="n"/>
      <c r="H2" s="301" t="n"/>
      <c r="I2" s="301" t="n"/>
      <c r="J2" s="301" t="n"/>
      <c r="K2" s="301" t="n"/>
      <c r="L2" s="301" t="n"/>
    </row>
    <row r="3" ht="15" customHeight="1" s="221">
      <c r="A3" s="341" t="inlineStr">
        <is>
          <t>TOTAL INGRESOS</t>
        </is>
      </c>
      <c r="C3" s="301" t="n"/>
      <c r="D3" s="342" t="inlineStr">
        <is>
          <t>GASTOS PAGADOS</t>
        </is>
      </c>
      <c r="F3" s="301" t="n"/>
      <c r="G3" s="343" t="inlineStr">
        <is>
          <t>GASTOS PENDIENTES</t>
        </is>
      </c>
      <c r="I3" s="301" t="n"/>
      <c r="J3" s="344" t="inlineStr">
        <is>
          <t>BALANCE</t>
        </is>
      </c>
      <c r="K3" s="301" t="n"/>
      <c r="L3" s="301" t="n"/>
    </row>
    <row r="4" ht="22.5" customHeight="1" s="221">
      <c r="A4" s="345">
        <f>D26+J12</f>
        <v/>
      </c>
      <c r="C4" s="328" t="n"/>
      <c r="D4" s="346">
        <f>D65+I58</f>
        <v/>
      </c>
      <c r="F4" s="301" t="n"/>
      <c r="G4" s="347">
        <f>D66+I59</f>
        <v/>
      </c>
      <c r="I4" s="301" t="n"/>
      <c r="J4" s="348">
        <f>A4-D4-G4</f>
        <v/>
      </c>
      <c r="K4" s="301" t="n"/>
      <c r="L4" s="301" t="n"/>
    </row>
    <row r="5" ht="15" customHeight="1" s="221">
      <c r="A5" s="301" t="n"/>
      <c r="B5" s="301" t="n"/>
      <c r="C5" s="301" t="n"/>
      <c r="D5" s="301" t="n"/>
      <c r="E5" s="301" t="n"/>
      <c r="F5" s="301" t="n"/>
      <c r="G5" s="301" t="n"/>
      <c r="H5" s="301" t="n"/>
      <c r="I5" s="301" t="n"/>
      <c r="J5" s="301" t="n"/>
      <c r="K5" s="301" t="n"/>
      <c r="L5" s="301" t="n"/>
    </row>
    <row r="6" ht="15.75" customHeight="1" s="221">
      <c r="A6" s="349" t="inlineStr">
        <is>
          <t>⚠️ PRÉSTAMO NT → FAMILIA</t>
        </is>
      </c>
      <c r="D6" s="350">
        <f>SUMIF('Ing-Egr Abril 2026'!B4:B103,"Préstamo NT → Familia",'Ing-Egr Abril 2026'!F4:F103)-SUMIF('Ing-Egr Abril 2026'!B4:B103,"Devolución Familia → NT",'Ing-Egr Abril 2026'!E4:E103)</f>
        <v/>
      </c>
      <c r="E6" s="301" t="n"/>
      <c r="F6" s="351" t="inlineStr">
        <is>
          <t>Estado:</t>
        </is>
      </c>
      <c r="G6" s="351">
        <f>IF(D6=0,"🟢 SANO","🔴 FUGA")</f>
        <v/>
      </c>
      <c r="H6" s="301" t="n"/>
      <c r="I6" s="339" t="inlineStr">
        <is>
          <t>(Ideal = 0)</t>
        </is>
      </c>
      <c r="J6" s="301" t="n"/>
      <c r="K6" s="301" t="n"/>
      <c r="L6" s="301" t="n"/>
    </row>
    <row r="7" ht="15" customHeight="1" s="221">
      <c r="A7" s="301" t="n"/>
      <c r="B7" s="301" t="n"/>
      <c r="C7" s="301" t="n"/>
      <c r="D7" s="301" t="n"/>
      <c r="E7" s="301" t="n"/>
      <c r="F7" s="301" t="n"/>
      <c r="G7" s="301" t="n"/>
      <c r="H7" s="301" t="n"/>
      <c r="I7" s="301" t="n"/>
      <c r="J7" s="301" t="n"/>
      <c r="K7" s="301" t="n"/>
      <c r="L7" s="301" t="n"/>
    </row>
    <row r="8" ht="15" customHeight="1" s="221">
      <c r="A8" s="352" t="inlineStr">
        <is>
          <t>💵 INGRESOS FAMILIA</t>
        </is>
      </c>
      <c r="B8" s="256" t="n"/>
      <c r="C8" s="256" t="n"/>
      <c r="D8" s="353" t="n"/>
      <c r="E8" s="354" t="n"/>
      <c r="F8" s="354" t="n"/>
      <c r="G8" s="355" t="inlineStr">
        <is>
          <t>💵 INGRESOS NEUROTEA</t>
        </is>
      </c>
      <c r="H8" s="256" t="n"/>
      <c r="I8" s="256" t="n"/>
      <c r="J8" s="353" t="n"/>
      <c r="K8" s="301" t="n"/>
      <c r="L8" s="301" t="n"/>
    </row>
    <row r="9" ht="15" customHeight="1" s="221">
      <c r="A9" s="356" t="inlineStr">
        <is>
          <t>MARCO ITAIPU</t>
        </is>
      </c>
      <c r="B9" s="353" t="n"/>
      <c r="C9" s="357" t="inlineStr">
        <is>
          <t>Fecha</t>
        </is>
      </c>
      <c r="D9" s="358" t="inlineStr">
        <is>
          <t>Monto</t>
        </is>
      </c>
      <c r="E9" s="359" t="n"/>
      <c r="F9" s="360" t="n"/>
      <c r="G9" s="361" t="inlineStr">
        <is>
          <t>Ingreso del Mes</t>
        </is>
      </c>
      <c r="H9" s="256" t="n"/>
      <c r="I9" s="353" t="n"/>
      <c r="J9" s="362" t="inlineStr">
        <is>
          <t>Monto</t>
        </is>
      </c>
      <c r="K9" s="301" t="n"/>
      <c r="L9" s="301" t="n"/>
    </row>
    <row r="10" ht="15" customHeight="1" s="221">
      <c r="A10" s="363" t="inlineStr">
        <is>
          <t>Salario Mensual</t>
        </is>
      </c>
      <c r="B10" s="364" t="n"/>
      <c r="C10" s="365" t="n"/>
      <c r="D10" s="366">
        <f>SUMIFS('Ing-Egr Abril 2026'!E4:E103,'Ing-Egr Abril 2026'!B4:B103,"Ingreso Marco",'Ing-Egr Abril 2026'!C4:C103,A10)</f>
        <v/>
      </c>
      <c r="E10" s="359" t="n"/>
      <c r="F10" s="360" t="n"/>
      <c r="G10" s="367" t="inlineStr">
        <is>
          <t>(Suma desde pestaña Ing-Egr Abril)</t>
        </is>
      </c>
      <c r="H10" s="256" t="n"/>
      <c r="I10" s="353" t="n"/>
      <c r="J10" s="368">
        <f>SUMIF('Ing-Egr Abril 2026'!B4:B103,"Ingreso NT",'Ing-Egr Abril 2026'!E4:E103)</f>
        <v/>
      </c>
      <c r="K10" s="301" t="n"/>
      <c r="L10" s="301" t="n"/>
    </row>
    <row r="11" ht="15" customHeight="1" s="221">
      <c r="A11" s="369" t="inlineStr">
        <is>
          <t>Vacaciones</t>
        </is>
      </c>
      <c r="B11" s="370" t="n"/>
      <c r="C11" s="371" t="n"/>
      <c r="D11" s="366">
        <f>SUMIFS('Ing-Egr Abril 2026'!E4:E103,'Ing-Egr Abril 2026'!B4:B103,"Ingreso Marco",'Ing-Egr Abril 2026'!C4:C103,A11)</f>
        <v/>
      </c>
      <c r="E11" s="359" t="n"/>
      <c r="F11" s="360" t="n"/>
      <c r="G11" s="359" t="n"/>
      <c r="H11" s="301" t="n"/>
      <c r="I11" s="301" t="n"/>
      <c r="J11" s="301" t="n"/>
      <c r="K11" s="301" t="n"/>
      <c r="L11" s="301" t="n"/>
    </row>
    <row r="12" ht="15" customHeight="1" s="221">
      <c r="A12" s="363" t="inlineStr">
        <is>
          <t>Aguinaldo</t>
        </is>
      </c>
      <c r="B12" s="364" t="n"/>
      <c r="C12" s="365" t="n"/>
      <c r="D12" s="366">
        <f>SUMIFS('Ing-Egr Abril 2026'!E4:E103,'Ing-Egr Abril 2026'!B4:B103,"Ingreso Marco",'Ing-Egr Abril 2026'!C4:C103,A12)</f>
        <v/>
      </c>
      <c r="E12" s="359" t="n"/>
      <c r="F12" s="360" t="n"/>
      <c r="G12" s="372" t="inlineStr">
        <is>
          <t>═══ TOTAL INGRESOS NT ═══</t>
        </is>
      </c>
      <c r="H12" s="256" t="n"/>
      <c r="I12" s="353" t="n"/>
      <c r="J12" s="373">
        <f>J10</f>
        <v/>
      </c>
      <c r="K12" s="301" t="n"/>
      <c r="L12" s="301" t="n"/>
    </row>
    <row r="13" ht="15" customHeight="1" s="221">
      <c r="A13" s="369" t="inlineStr">
        <is>
          <t>Viático</t>
        </is>
      </c>
      <c r="B13" s="370" t="n"/>
      <c r="C13" s="371" t="n"/>
      <c r="D13" s="366">
        <f>SUMIFS('Ing-Egr Abril 2026'!E4:E103,'Ing-Egr Abril 2026'!B4:B103,"Ingreso Marco",'Ing-Egr Abril 2026'!C4:C103,A13)</f>
        <v/>
      </c>
      <c r="E13" s="359" t="n"/>
      <c r="F13" s="360" t="n"/>
      <c r="G13" s="359" t="n"/>
      <c r="H13" s="301" t="n"/>
      <c r="I13" s="301" t="n"/>
      <c r="J13" s="301" t="n"/>
      <c r="K13" s="301" t="n"/>
      <c r="L13" s="301" t="n"/>
    </row>
    <row r="14" ht="15" customHeight="1" s="221">
      <c r="A14" s="363" t="inlineStr">
        <is>
          <t>Animador Bíblico</t>
        </is>
      </c>
      <c r="B14" s="364" t="n"/>
      <c r="C14" s="365" t="n"/>
      <c r="D14" s="366">
        <f>SUMIFS('Ing-Egr Abril 2026'!E4:E103,'Ing-Egr Abril 2026'!B4:B103,"Ingreso Marco",'Ing-Egr Abril 2026'!C4:C103,A14)</f>
        <v/>
      </c>
      <c r="E14" s="359" t="n"/>
      <c r="F14" s="360" t="n"/>
      <c r="G14" s="359" t="n"/>
      <c r="H14" s="301" t="n"/>
      <c r="I14" s="301" t="n"/>
      <c r="J14" s="301" t="n"/>
      <c r="K14" s="301" t="n"/>
      <c r="L14" s="301" t="n"/>
    </row>
    <row r="15" ht="15" customHeight="1" s="221">
      <c r="A15" s="369" t="inlineStr">
        <is>
          <t>Otros Ocasionales</t>
        </is>
      </c>
      <c r="B15" s="370" t="n"/>
      <c r="C15" s="371" t="n"/>
      <c r="D15" s="366">
        <f>SUMIFS('Ing-Egr Abril 2026'!E4:E103,'Ing-Egr Abril 2026'!B4:B103,"Ingreso Marco",'Ing-Egr Abril 2026'!C4:C103,A15)</f>
        <v/>
      </c>
      <c r="E15" s="359" t="n"/>
      <c r="F15" s="360" t="n"/>
      <c r="G15" s="359" t="n"/>
      <c r="H15" s="301" t="n"/>
      <c r="I15" s="374">
        <f>J12</f>
        <v/>
      </c>
      <c r="J15" s="301" t="n"/>
      <c r="K15" s="301" t="n"/>
      <c r="L15" s="301" t="n"/>
    </row>
    <row r="16" ht="15" customHeight="1" s="221">
      <c r="A16" s="375" t="inlineStr">
        <is>
          <t>TOTAL MARCO</t>
        </is>
      </c>
      <c r="B16" s="360" t="n"/>
      <c r="C16" s="359" t="n"/>
      <c r="D16" s="376">
        <f>SUM(D10:D15)</f>
        <v/>
      </c>
      <c r="E16" s="359" t="n"/>
      <c r="F16" s="360" t="n"/>
      <c r="G16" s="359" t="n"/>
      <c r="H16" s="301" t="n"/>
      <c r="I16" s="301" t="n"/>
      <c r="J16" s="301" t="n"/>
      <c r="K16" s="301" t="n"/>
      <c r="L16" s="301" t="n"/>
    </row>
    <row r="17" ht="15" customHeight="1" s="221">
      <c r="A17" s="377" t="inlineStr">
        <is>
          <t>CLARA</t>
        </is>
      </c>
      <c r="B17" s="353" t="n"/>
      <c r="C17" s="378" t="inlineStr">
        <is>
          <t>Fecha</t>
        </is>
      </c>
      <c r="D17" s="379" t="inlineStr">
        <is>
          <t>Monto</t>
        </is>
      </c>
      <c r="E17" s="359" t="n"/>
      <c r="F17" s="360" t="n"/>
      <c r="G17" s="359" t="n"/>
      <c r="H17" s="301" t="n"/>
      <c r="I17" s="301" t="n"/>
      <c r="J17" s="301" t="n"/>
      <c r="K17" s="301" t="n"/>
      <c r="L17" s="301" t="n"/>
    </row>
    <row r="18" ht="15" customHeight="1" s="221">
      <c r="A18" s="380" t="inlineStr">
        <is>
          <t>Honorarios Diarios</t>
        </is>
      </c>
      <c r="B18" s="381" t="n"/>
      <c r="C18" s="382" t="n"/>
      <c r="D18" s="383">
        <f>SUMIF('Ing-Egr Abril 2026'!B4:B103,"Ingreso Clara",'Ing-Egr Abril 2026'!E4:E103)</f>
        <v/>
      </c>
      <c r="E18" s="359" t="n"/>
      <c r="F18" s="360" t="n"/>
      <c r="G18" s="359" t="n"/>
      <c r="H18" s="301" t="n"/>
      <c r="I18" s="301" t="n"/>
      <c r="J18" s="301" t="n"/>
      <c r="K18" s="301" t="n"/>
      <c r="L18" s="301" t="n"/>
    </row>
    <row r="19" ht="15" customHeight="1" s="221">
      <c r="A19" s="384" t="inlineStr">
        <is>
          <t>TOTAL CLARA</t>
        </is>
      </c>
      <c r="B19" s="301" t="n"/>
      <c r="C19" s="301" t="n"/>
      <c r="D19" s="385">
        <f>D18</f>
        <v/>
      </c>
      <c r="E19" s="359" t="n"/>
      <c r="F19" s="360" t="n"/>
      <c r="G19" s="359" t="n"/>
      <c r="H19" s="301" t="n"/>
      <c r="I19" s="301" t="n"/>
      <c r="J19" s="301" t="n"/>
      <c r="K19" s="301" t="n"/>
      <c r="L19" s="301" t="n"/>
    </row>
    <row r="20" ht="15" customHeight="1" s="221">
      <c r="A20" s="386" t="inlineStr">
        <is>
          <t>DESDE NEUROTEA</t>
        </is>
      </c>
      <c r="D20" s="387" t="inlineStr">
        <is>
          <t>Monto</t>
        </is>
      </c>
      <c r="E20" s="359" t="n"/>
      <c r="F20" s="360" t="n"/>
      <c r="G20" s="359" t="n"/>
      <c r="H20" s="301" t="n"/>
      <c r="I20" s="301" t="n"/>
      <c r="J20" s="301" t="n"/>
      <c r="K20" s="301" t="n"/>
      <c r="L20" s="301" t="n"/>
    </row>
    <row r="21" ht="15" customHeight="1" s="221">
      <c r="A21" s="388" t="inlineStr">
        <is>
          <t>Salario Admin Marco</t>
        </is>
      </c>
      <c r="B21" s="388" t="n"/>
      <c r="C21" s="388" t="n"/>
      <c r="D21" s="389" t="n">
        <v>0</v>
      </c>
      <c r="E21" s="359" t="n"/>
      <c r="F21" s="360" t="n"/>
      <c r="G21" s="359" t="n"/>
      <c r="H21" s="301" t="n"/>
      <c r="I21" s="301" t="n"/>
      <c r="J21" s="301" t="n"/>
      <c r="K21" s="301" t="n"/>
      <c r="L21" s="301" t="n"/>
    </row>
    <row r="22" ht="15" customHeight="1" s="221">
      <c r="A22" s="390" t="inlineStr">
        <is>
          <t>Ganancia NT → Familia</t>
        </is>
      </c>
      <c r="B22" s="390" t="n"/>
      <c r="C22" s="390" t="n"/>
      <c r="D22" s="391" t="n">
        <v>0</v>
      </c>
      <c r="E22" s="359" t="n"/>
      <c r="F22" s="360" t="n"/>
      <c r="G22" s="359" t="n"/>
      <c r="H22" s="301" t="n"/>
      <c r="I22" s="301" t="n"/>
      <c r="J22" s="301" t="n"/>
      <c r="K22" s="301" t="n"/>
      <c r="L22" s="301" t="n"/>
    </row>
    <row r="23" ht="15" customHeight="1" s="221">
      <c r="A23" s="388" t="inlineStr">
        <is>
          <t>Préstamo NT (automático)</t>
        </is>
      </c>
      <c r="B23" s="388" t="n"/>
      <c r="C23" s="388" t="n"/>
      <c r="D23" s="389">
        <f>D6</f>
        <v/>
      </c>
      <c r="E23" s="359" t="n"/>
      <c r="F23" s="360" t="n"/>
      <c r="G23" s="359" t="n"/>
      <c r="H23" s="301" t="n"/>
      <c r="I23" s="301" t="n"/>
      <c r="J23" s="301" t="n"/>
      <c r="K23" s="301" t="n"/>
      <c r="L23" s="301" t="n"/>
    </row>
    <row r="24" ht="15" customHeight="1" s="221">
      <c r="A24" s="392" t="inlineStr">
        <is>
          <t>TOTAL DESDE NT</t>
        </is>
      </c>
      <c r="B24" s="301" t="n"/>
      <c r="C24" s="301" t="n"/>
      <c r="D24" s="393">
        <f>SUM(D21:D23)</f>
        <v/>
      </c>
      <c r="E24" s="359" t="n"/>
      <c r="F24" s="360" t="n"/>
      <c r="G24" s="359" t="n"/>
      <c r="H24" s="301" t="n"/>
      <c r="I24" s="301" t="n"/>
      <c r="J24" s="301" t="n"/>
      <c r="K24" s="301" t="n"/>
      <c r="L24" s="301" t="n"/>
    </row>
    <row r="25" ht="15" customHeight="1" s="221">
      <c r="A25" s="301" t="n"/>
      <c r="B25" s="301" t="n"/>
      <c r="C25" s="301" t="n"/>
      <c r="D25" s="360" t="n"/>
      <c r="E25" s="359" t="n"/>
      <c r="F25" s="360" t="n"/>
      <c r="G25" s="359" t="n"/>
      <c r="H25" s="301" t="n"/>
      <c r="I25" s="301" t="n"/>
      <c r="J25" s="301" t="n"/>
      <c r="K25" s="301" t="n"/>
      <c r="L25" s="301" t="n"/>
    </row>
    <row r="26" ht="15" customHeight="1" s="221">
      <c r="A26" s="223" t="inlineStr">
        <is>
          <t>═══ TOTAL INGRESOS FAMILIA ═══</t>
        </is>
      </c>
      <c r="D26" s="394">
        <f>D16+D19+D24</f>
        <v/>
      </c>
      <c r="E26" s="359" t="n"/>
      <c r="F26" s="360" t="n"/>
      <c r="G26" s="359" t="n"/>
      <c r="H26" s="301" t="n"/>
      <c r="I26" s="301" t="n"/>
      <c r="J26" s="301" t="n"/>
      <c r="K26" s="301" t="n"/>
      <c r="L26" s="301" t="n"/>
    </row>
    <row r="27" ht="15" customHeight="1" s="221">
      <c r="A27" s="301" t="n"/>
      <c r="B27" s="301" t="n"/>
      <c r="C27" s="301" t="n"/>
      <c r="D27" s="360" t="n"/>
      <c r="E27" s="359" t="n"/>
      <c r="F27" s="360" t="n"/>
      <c r="G27" s="359" t="n"/>
      <c r="H27" s="301" t="n"/>
      <c r="I27" s="301" t="n"/>
      <c r="J27" s="301" t="n"/>
      <c r="K27" s="301" t="n"/>
      <c r="L27" s="301" t="n"/>
    </row>
    <row r="28" ht="15.75" customHeight="1" s="221">
      <c r="A28" s="395" t="inlineStr">
        <is>
          <t>📉 GASTOS FAMILIARES</t>
        </is>
      </c>
      <c r="E28" s="328" t="n"/>
      <c r="F28" s="301" t="n"/>
      <c r="G28" s="396" t="inlineStr">
        <is>
          <t>📉 GASTOS NEUROTEA</t>
        </is>
      </c>
      <c r="K28" s="301" t="n"/>
      <c r="L28" s="301" t="n"/>
    </row>
    <row r="29" ht="15" customHeight="1" s="221">
      <c r="A29" s="397" t="inlineStr">
        <is>
          <t>Detalle</t>
        </is>
      </c>
      <c r="B29" s="397" t="inlineStr">
        <is>
          <t>Estado</t>
        </is>
      </c>
      <c r="C29" s="397" t="inlineStr">
        <is>
          <t>Monto</t>
        </is>
      </c>
      <c r="D29" s="397" t="inlineStr">
        <is>
          <t>Venc.</t>
        </is>
      </c>
      <c r="E29" s="301" t="n"/>
      <c r="F29" s="301" t="n"/>
      <c r="G29" s="398" t="inlineStr">
        <is>
          <t>Detalle</t>
        </is>
      </c>
      <c r="H29" s="398" t="inlineStr">
        <is>
          <t>Estado</t>
        </is>
      </c>
      <c r="I29" s="398" t="inlineStr">
        <is>
          <t>Monto</t>
        </is>
      </c>
      <c r="J29" s="398" t="inlineStr">
        <is>
          <t>Venc.</t>
        </is>
      </c>
      <c r="K29" s="301" t="n"/>
      <c r="L29" s="301" t="n"/>
    </row>
    <row r="30" ht="15.75" customHeight="1" s="221">
      <c r="A30" s="399" t="inlineStr">
        <is>
          <t>► GASTOS FIJOS ✏️</t>
        </is>
      </c>
      <c r="E30" s="301" t="n"/>
      <c r="F30" s="301" t="n"/>
      <c r="G30" s="400" t="inlineStr">
        <is>
          <t>► GASTOS FIJOS ✏️</t>
        </is>
      </c>
      <c r="K30" s="301" t="n"/>
      <c r="L30" s="301" t="n"/>
    </row>
    <row r="31" ht="15" customHeight="1" s="221">
      <c r="A31" s="401" t="inlineStr">
        <is>
          <t>Salario Lili Doméstico</t>
        </is>
      </c>
      <c r="B31" s="401" t="inlineStr">
        <is>
          <t>Ninguno</t>
        </is>
      </c>
      <c r="C31" s="402" t="n"/>
      <c r="D31" s="458" t="n"/>
      <c r="E31" s="301" t="n"/>
      <c r="F31" s="301" t="n"/>
      <c r="G31" s="403" t="inlineStr">
        <is>
          <t>Alquiler 1 (Principal)</t>
        </is>
      </c>
      <c r="H31" s="403" t="inlineStr">
        <is>
          <t>Ninguno</t>
        </is>
      </c>
      <c r="I31" s="404" t="n">
        <v>0</v>
      </c>
      <c r="J31" s="459" t="n"/>
      <c r="K31" s="301" t="n"/>
      <c r="L31" s="301" t="n"/>
    </row>
    <row r="32" ht="15" customHeight="1" s="221">
      <c r="A32" s="405" t="inlineStr">
        <is>
          <t>Salario Laura Doméstico</t>
        </is>
      </c>
      <c r="B32" s="405" t="inlineStr">
        <is>
          <t>Ninguno</t>
        </is>
      </c>
      <c r="C32" s="406" t="n"/>
      <c r="D32" s="460" t="n"/>
      <c r="E32" s="301" t="n"/>
      <c r="F32" s="301" t="n"/>
      <c r="G32" s="407" t="inlineStr">
        <is>
          <t>Alquiler 2 (Secundario)</t>
        </is>
      </c>
      <c r="H32" s="407" t="inlineStr">
        <is>
          <t>Ninguno</t>
        </is>
      </c>
      <c r="I32" s="408" t="n">
        <v>0</v>
      </c>
      <c r="J32" s="461" t="n"/>
      <c r="K32" s="301" t="n"/>
      <c r="L32" s="301" t="n"/>
    </row>
    <row r="33" ht="15" customHeight="1" s="221">
      <c r="A33" s="401" t="inlineStr">
        <is>
          <t>Escuela Fabián y Brenda</t>
        </is>
      </c>
      <c r="B33" s="401" t="inlineStr">
        <is>
          <t>Ninguno</t>
        </is>
      </c>
      <c r="C33" s="402" t="n"/>
      <c r="D33" s="458" t="n"/>
      <c r="E33" s="301" t="n"/>
      <c r="F33" s="301" t="n"/>
      <c r="G33" s="403" t="inlineStr">
        <is>
          <t>Limpieza NeuroTEA</t>
        </is>
      </c>
      <c r="H33" s="403" t="inlineStr">
        <is>
          <t>Ninguno</t>
        </is>
      </c>
      <c r="I33" s="404" t="n">
        <v>0</v>
      </c>
      <c r="J33" s="459" t="n"/>
      <c r="K33" s="301" t="n"/>
      <c r="L33" s="301" t="n"/>
    </row>
    <row r="34" ht="15" customHeight="1" s="221">
      <c r="A34" s="405" t="inlineStr">
        <is>
          <t>Robótica Niños</t>
        </is>
      </c>
      <c r="B34" s="405" t="inlineStr">
        <is>
          <t>Ninguno</t>
        </is>
      </c>
      <c r="C34" s="406" t="n"/>
      <c r="D34" s="460" t="n"/>
      <c r="E34" s="301" t="n"/>
      <c r="F34" s="301" t="n"/>
      <c r="G34" s="400" t="inlineStr">
        <is>
          <t>► SUELDOS Y HONORARIOS ✏️</t>
        </is>
      </c>
      <c r="K34" s="301" t="n"/>
      <c r="L34" s="301" t="n"/>
    </row>
    <row r="35" ht="15" customHeight="1" s="221">
      <c r="A35" s="410" t="inlineStr">
        <is>
          <t>ANDE Casa</t>
        </is>
      </c>
      <c r="B35" s="410" t="inlineStr">
        <is>
          <t>Ninguno</t>
        </is>
      </c>
      <c r="C35" s="411" t="n"/>
      <c r="D35" s="463" t="n"/>
      <c r="E35" s="301" t="n"/>
      <c r="F35" s="301" t="n"/>
      <c r="G35" s="403" t="inlineStr">
        <is>
          <t>Sueldo Aracely</t>
        </is>
      </c>
      <c r="H35" s="403" t="inlineStr">
        <is>
          <t>Ninguno</t>
        </is>
      </c>
      <c r="I35" s="404" t="n">
        <v>0</v>
      </c>
      <c r="J35" s="459" t="n"/>
      <c r="K35" s="301" t="n"/>
      <c r="L35" s="301" t="n"/>
    </row>
    <row r="36" ht="15" customHeight="1" s="221">
      <c r="A36" s="405" t="inlineStr">
        <is>
          <t>Expensa Casa</t>
        </is>
      </c>
      <c r="B36" s="405" t="inlineStr">
        <is>
          <t>Ninguno</t>
        </is>
      </c>
      <c r="C36" s="406" t="n"/>
      <c r="D36" s="460" t="n"/>
      <c r="E36" s="301" t="n"/>
      <c r="F36" s="301" t="n"/>
      <c r="G36" s="407" t="inlineStr">
        <is>
          <t>Sueldo Fátima</t>
        </is>
      </c>
      <c r="H36" s="407" t="inlineStr">
        <is>
          <t>Ninguno</t>
        </is>
      </c>
      <c r="I36" s="408" t="n">
        <v>0</v>
      </c>
      <c r="J36" s="461" t="n"/>
      <c r="K36" s="301" t="n"/>
      <c r="L36" s="301" t="n"/>
    </row>
    <row r="37" ht="15" customHeight="1" s="221">
      <c r="A37" s="410" t="inlineStr">
        <is>
          <t>Cajubi Marco</t>
        </is>
      </c>
      <c r="B37" s="410" t="inlineStr">
        <is>
          <t>Ninguno</t>
        </is>
      </c>
      <c r="C37" s="411" t="n"/>
      <c r="D37" s="463" t="n"/>
      <c r="E37" s="301" t="n"/>
      <c r="F37" s="301" t="n"/>
      <c r="G37" s="403" t="inlineStr">
        <is>
          <t>Honorario Contador</t>
        </is>
      </c>
      <c r="H37" s="403" t="inlineStr">
        <is>
          <t>Ninguno</t>
        </is>
      </c>
      <c r="I37" s="404" t="n">
        <v>0</v>
      </c>
      <c r="J37" s="459" t="n"/>
      <c r="K37" s="301" t="n"/>
      <c r="L37" s="301" t="n"/>
    </row>
    <row r="38" ht="15" customHeight="1" s="221">
      <c r="A38" s="405" t="inlineStr">
        <is>
          <t>Mutual Marco</t>
        </is>
      </c>
      <c r="B38" s="405" t="inlineStr">
        <is>
          <t>Ninguno</t>
        </is>
      </c>
      <c r="C38" s="406" t="n"/>
      <c r="D38" s="460" t="n"/>
      <c r="E38" s="301" t="n"/>
      <c r="F38" s="301" t="n"/>
      <c r="G38" s="407" t="inlineStr">
        <is>
          <t>Salario Administrador</t>
        </is>
      </c>
      <c r="H38" s="407" t="inlineStr">
        <is>
          <t>Ninguno</t>
        </is>
      </c>
      <c r="I38" s="408" t="n">
        <v>0</v>
      </c>
      <c r="J38" s="461" t="n"/>
      <c r="K38" s="301" t="n"/>
      <c r="L38" s="301" t="n"/>
    </row>
    <row r="39" ht="15" customHeight="1" s="221">
      <c r="A39" s="410" t="inlineStr">
        <is>
          <t>Ña Luisa</t>
        </is>
      </c>
      <c r="B39" s="410" t="inlineStr">
        <is>
          <t>Ninguno</t>
        </is>
      </c>
      <c r="C39" s="411" t="n"/>
      <c r="D39" s="463" t="n"/>
      <c r="E39" s="301" t="n"/>
      <c r="F39" s="301" t="n"/>
      <c r="G39" s="403" t="inlineStr">
        <is>
          <t>Honorario Mant. Sistema</t>
        </is>
      </c>
      <c r="H39" s="403" t="inlineStr">
        <is>
          <t>Ninguno</t>
        </is>
      </c>
      <c r="I39" s="404" t="n">
        <v>0</v>
      </c>
      <c r="J39" s="459" t="n"/>
      <c r="K39" s="301" t="n"/>
      <c r="L39" s="301" t="n"/>
    </row>
    <row r="40" ht="15" customHeight="1" s="221">
      <c r="A40" s="405" t="inlineStr">
        <is>
          <t>Seguro Médico Papá y Mamá</t>
        </is>
      </c>
      <c r="B40" s="405" t="inlineStr">
        <is>
          <t>Ninguno</t>
        </is>
      </c>
      <c r="C40" s="406" t="n"/>
      <c r="D40" s="460" t="n"/>
      <c r="E40" s="301" t="n"/>
      <c r="F40" s="301" t="n"/>
      <c r="G40" s="400" t="inlineStr">
        <is>
          <t>► TELEFONÍA E INTERNET ✏️</t>
        </is>
      </c>
      <c r="K40" s="301" t="n"/>
      <c r="L40" s="301" t="n"/>
    </row>
    <row r="41" ht="15" customHeight="1" s="221">
      <c r="A41" s="413" t="inlineStr">
        <is>
          <t>► CUOTAS Y PRÉSTAMOS ✏️</t>
        </is>
      </c>
      <c r="B41" s="256" t="n"/>
      <c r="C41" s="256" t="n"/>
      <c r="D41" s="353" t="n"/>
      <c r="E41" s="301" t="n"/>
      <c r="F41" s="301" t="n"/>
      <c r="G41" s="403" t="inlineStr">
        <is>
          <t>Celular Tigo NeuroTEA</t>
        </is>
      </c>
      <c r="H41" s="403" t="inlineStr">
        <is>
          <t>Ninguno</t>
        </is>
      </c>
      <c r="I41" s="404" t="n">
        <v>0</v>
      </c>
      <c r="J41" s="459" t="n"/>
      <c r="K41" s="301" t="n"/>
      <c r="L41" s="301" t="n"/>
    </row>
    <row r="42" ht="15" customHeight="1" s="221">
      <c r="A42" s="410" t="inlineStr">
        <is>
          <t>Auto Laura Cuota</t>
        </is>
      </c>
      <c r="B42" s="410" t="inlineStr">
        <is>
          <t>Ninguno</t>
        </is>
      </c>
      <c r="C42" s="411" t="n"/>
      <c r="D42" s="463" t="n"/>
      <c r="E42" s="301" t="n"/>
      <c r="F42" s="301" t="n"/>
      <c r="G42" s="407" t="inlineStr">
        <is>
          <t>Celular Tigo Sistema</t>
        </is>
      </c>
      <c r="H42" s="407" t="inlineStr">
        <is>
          <t>Ninguno</t>
        </is>
      </c>
      <c r="I42" s="408" t="n">
        <v>0</v>
      </c>
      <c r="J42" s="461" t="n"/>
      <c r="K42" s="301" t="n"/>
      <c r="L42" s="301" t="n"/>
    </row>
    <row r="43" ht="15" customHeight="1" s="221">
      <c r="A43" s="405" t="inlineStr">
        <is>
          <t>Coop. Universitaria Clara</t>
        </is>
      </c>
      <c r="B43" s="405" t="inlineStr">
        <is>
          <t>Ninguno</t>
        </is>
      </c>
      <c r="C43" s="406" t="n"/>
      <c r="D43" s="460" t="n"/>
      <c r="E43" s="301" t="n"/>
      <c r="F43" s="301" t="n"/>
      <c r="G43" s="403" t="inlineStr">
        <is>
          <t>WhatsFlow</t>
        </is>
      </c>
      <c r="H43" s="403" t="inlineStr">
        <is>
          <t>Ninguno</t>
        </is>
      </c>
      <c r="I43" s="404" t="n">
        <v>0</v>
      </c>
      <c r="J43" s="459" t="n"/>
      <c r="K43" s="301" t="n"/>
      <c r="L43" s="301" t="n"/>
    </row>
    <row r="44" ht="15" customHeight="1" s="221">
      <c r="A44" s="410" t="inlineStr">
        <is>
          <t>Coomecipar Clara</t>
        </is>
      </c>
      <c r="B44" s="410" t="inlineStr">
        <is>
          <t>Ninguno</t>
        </is>
      </c>
      <c r="C44" s="411" t="n"/>
      <c r="D44" s="463" t="n"/>
      <c r="E44" s="301" t="n"/>
      <c r="F44" s="301" t="n"/>
      <c r="G44" s="407" t="inlineStr">
        <is>
          <t>Internet NeuroTEA</t>
        </is>
      </c>
      <c r="H44" s="407" t="inlineStr">
        <is>
          <t>Ninguno</t>
        </is>
      </c>
      <c r="I44" s="408" t="n">
        <v>0</v>
      </c>
      <c r="J44" s="461" t="n"/>
      <c r="K44" s="301" t="n"/>
      <c r="L44" s="301" t="n"/>
    </row>
    <row r="45" ht="15" customHeight="1" s="221">
      <c r="A45" s="414" t="inlineStr">
        <is>
          <t>Tarjeta Cred. Coomecipar</t>
        </is>
      </c>
      <c r="B45" s="414" t="inlineStr">
        <is>
          <t>Ninguno</t>
        </is>
      </c>
      <c r="C45" s="415" t="n"/>
      <c r="D45" s="465" t="n"/>
      <c r="E45" s="301" t="n"/>
      <c r="F45" s="301" t="n"/>
      <c r="G45" s="400" t="inlineStr">
        <is>
          <t>► IMPUESTOS ✏️</t>
        </is>
      </c>
      <c r="K45" s="301" t="n"/>
      <c r="L45" s="301" t="n"/>
    </row>
    <row r="46" ht="15" customHeight="1" s="221">
      <c r="A46" s="401" t="inlineStr">
        <is>
          <t>Solar Préstamo 1</t>
        </is>
      </c>
      <c r="B46" s="401" t="inlineStr">
        <is>
          <t>Ninguno</t>
        </is>
      </c>
      <c r="C46" s="402" t="n"/>
      <c r="D46" s="458" t="n"/>
      <c r="E46" s="301" t="n"/>
      <c r="F46" s="301" t="n"/>
      <c r="G46" s="403" t="inlineStr">
        <is>
          <t>IVA</t>
        </is>
      </c>
      <c r="H46" s="403" t="inlineStr">
        <is>
          <t>Ninguno</t>
        </is>
      </c>
      <c r="I46" s="404" t="n">
        <v>0</v>
      </c>
      <c r="J46" s="459" t="n"/>
      <c r="K46" s="301" t="n"/>
      <c r="L46" s="301" t="n"/>
    </row>
    <row r="47" ht="15" customHeight="1" s="221">
      <c r="A47" s="405" t="inlineStr">
        <is>
          <t>Solar Préstamo 2</t>
        </is>
      </c>
      <c r="B47" s="405" t="inlineStr">
        <is>
          <t>Ninguno</t>
        </is>
      </c>
      <c r="C47" s="406" t="n"/>
      <c r="D47" s="460" t="n"/>
      <c r="E47" s="301" t="n"/>
      <c r="F47" s="301" t="n"/>
      <c r="G47" s="400" t="inlineStr">
        <is>
          <t>► EVENTOS NT ✏️</t>
        </is>
      </c>
      <c r="K47" s="301" t="n"/>
      <c r="L47" s="301" t="n"/>
    </row>
    <row r="48" ht="15" customHeight="1" s="221">
      <c r="A48" s="410" t="inlineStr">
        <is>
          <t>Préstamo Lizzi Sueldos</t>
        </is>
      </c>
      <c r="B48" s="410" t="inlineStr">
        <is>
          <t>Ninguno</t>
        </is>
      </c>
      <c r="C48" s="411" t="n"/>
      <c r="D48" s="463" t="n"/>
      <c r="E48" s="301" t="n"/>
      <c r="F48" s="301" t="n"/>
      <c r="G48" s="403" t="inlineStr">
        <is>
          <t>Día del Niño NT</t>
        </is>
      </c>
      <c r="H48" s="403" t="inlineStr">
        <is>
          <t>Ninguno</t>
        </is>
      </c>
      <c r="I48" s="404" t="n">
        <v>0</v>
      </c>
      <c r="J48" s="459" t="n"/>
      <c r="K48" s="301" t="n"/>
      <c r="L48" s="301" t="n"/>
    </row>
    <row r="49" ht="15" customHeight="1" s="221">
      <c r="A49" s="405" t="inlineStr">
        <is>
          <t>Show Congelador</t>
        </is>
      </c>
      <c r="B49" s="405" t="inlineStr">
        <is>
          <t>Ninguno</t>
        </is>
      </c>
      <c r="C49" s="406" t="n"/>
      <c r="D49" s="460" t="n"/>
      <c r="E49" s="301" t="n"/>
      <c r="F49" s="301" t="n"/>
      <c r="G49" s="407" t="inlineStr">
        <is>
          <t>San Juan NT</t>
        </is>
      </c>
      <c r="H49" s="407" t="inlineStr">
        <is>
          <t>Ninguno</t>
        </is>
      </c>
      <c r="I49" s="408" t="n">
        <v>0</v>
      </c>
      <c r="J49" s="461" t="n"/>
      <c r="K49" s="301" t="n"/>
      <c r="L49" s="301" t="n"/>
    </row>
    <row r="50" ht="15" customHeight="1" s="221">
      <c r="A50" s="410" t="inlineStr">
        <is>
          <t>Olier Heladera</t>
        </is>
      </c>
      <c r="B50" s="410" t="inlineStr">
        <is>
          <t>Ninguno</t>
        </is>
      </c>
      <c r="C50" s="411" t="n"/>
      <c r="D50" s="463" t="n"/>
      <c r="E50" s="301" t="n"/>
      <c r="F50" s="301" t="n"/>
      <c r="G50" s="403" t="inlineStr">
        <is>
          <t>Día del Autismo NT</t>
        </is>
      </c>
      <c r="H50" s="403" t="inlineStr">
        <is>
          <t>Ninguno</t>
        </is>
      </c>
      <c r="I50" s="404" t="n">
        <v>0</v>
      </c>
      <c r="J50" s="459" t="n"/>
      <c r="K50" s="301" t="n"/>
      <c r="L50" s="301" t="n"/>
    </row>
    <row r="51" ht="15" customHeight="1" s="221">
      <c r="A51" s="413" t="inlineStr">
        <is>
          <t>► SUSCRIPCIONES E INTERNET ✏️</t>
        </is>
      </c>
      <c r="B51" s="256" t="n"/>
      <c r="C51" s="256" t="n"/>
      <c r="D51" s="353" t="n"/>
      <c r="E51" s="301" t="n"/>
      <c r="F51" s="301" t="n"/>
      <c r="G51" s="407" t="inlineStr">
        <is>
          <t>Clausura Padres NT</t>
        </is>
      </c>
      <c r="H51" s="407" t="inlineStr">
        <is>
          <t>Ninguno</t>
        </is>
      </c>
      <c r="I51" s="408" t="n">
        <v>0</v>
      </c>
      <c r="J51" s="461" t="n"/>
      <c r="K51" s="301" t="n"/>
      <c r="L51" s="301" t="n"/>
    </row>
    <row r="52" ht="15" customHeight="1" s="221">
      <c r="A52" s="410" t="inlineStr">
        <is>
          <t>Giganet</t>
        </is>
      </c>
      <c r="B52" s="410" t="inlineStr">
        <is>
          <t>Ninguno</t>
        </is>
      </c>
      <c r="C52" s="411" t="n"/>
      <c r="D52" s="463" t="n"/>
      <c r="E52" s="301" t="n"/>
      <c r="F52" s="301" t="n"/>
      <c r="G52" s="403" t="inlineStr">
        <is>
          <t>Navidad Papá Noel NT</t>
        </is>
      </c>
      <c r="H52" s="403" t="inlineStr">
        <is>
          <t>Ninguno</t>
        </is>
      </c>
      <c r="I52" s="404" t="n">
        <v>0</v>
      </c>
      <c r="J52" s="459" t="n"/>
      <c r="K52" s="301" t="n"/>
      <c r="L52" s="301" t="n"/>
    </row>
    <row r="53" ht="15" customHeight="1" s="221">
      <c r="A53" s="405" t="inlineStr">
        <is>
          <t>Tigo Internet/Celulares</t>
        </is>
      </c>
      <c r="B53" s="405" t="inlineStr">
        <is>
          <t>Ninguno</t>
        </is>
      </c>
      <c r="C53" s="406" t="n"/>
      <c r="D53" s="460" t="n"/>
      <c r="E53" s="301" t="n"/>
      <c r="F53" s="301" t="n"/>
      <c r="G53" s="407" t="inlineStr">
        <is>
          <t>Cena Fin de Año NT</t>
        </is>
      </c>
      <c r="H53" s="407" t="inlineStr">
        <is>
          <t>Ninguno</t>
        </is>
      </c>
      <c r="I53" s="408" t="n">
        <v>0</v>
      </c>
      <c r="J53" s="461" t="n"/>
      <c r="K53" s="301" t="n"/>
      <c r="L53" s="301" t="n"/>
    </row>
    <row r="54" ht="15" customHeight="1" s="221">
      <c r="A54" s="410" t="inlineStr">
        <is>
          <t>Tigo Familiar</t>
        </is>
      </c>
      <c r="B54" s="410" t="inlineStr">
        <is>
          <t>Ninguno</t>
        </is>
      </c>
      <c r="C54" s="411" t="n"/>
      <c r="D54" s="463" t="n"/>
      <c r="E54" s="301" t="n"/>
      <c r="F54" s="301" t="n"/>
      <c r="G54" s="400" t="inlineStr">
        <is>
          <t>► GASTOS VARIABLES NT 🔗</t>
        </is>
      </c>
      <c r="K54" s="301" t="n"/>
      <c r="L54" s="301" t="n"/>
    </row>
    <row r="55" ht="15" customHeight="1" s="221">
      <c r="A55" s="405" t="inlineStr">
        <is>
          <t>Google One</t>
        </is>
      </c>
      <c r="B55" s="405" t="inlineStr">
        <is>
          <t>Ninguno</t>
        </is>
      </c>
      <c r="C55" s="406" t="n"/>
      <c r="D55" s="460" t="n"/>
      <c r="E55" s="301" t="n"/>
      <c r="F55" s="301" t="n"/>
      <c r="G55" s="403" t="inlineStr">
        <is>
          <t>Insumos NT</t>
        </is>
      </c>
      <c r="H55" s="403" t="inlineStr">
        <is>
          <t>Ninguno</t>
        </is>
      </c>
      <c r="I55" s="404">
        <f>SUMIFS('Ing-Egr Abril 2026'!F4:F103,'Ing-Egr Abril 2026'!B4:B103,"Egreso NT",'Ing-Egr Abril 2026'!C4:C103,G55)</f>
        <v/>
      </c>
      <c r="J55" s="459" t="n"/>
      <c r="K55" s="301" t="n"/>
      <c r="L55" s="301" t="n"/>
    </row>
    <row r="56" ht="15" customHeight="1" s="221">
      <c r="A56" s="410" t="inlineStr">
        <is>
          <t>ChatGPT</t>
        </is>
      </c>
      <c r="B56" s="410" t="inlineStr">
        <is>
          <t>Ninguno</t>
        </is>
      </c>
      <c r="C56" s="411" t="n"/>
      <c r="D56" s="463" t="n"/>
      <c r="E56" s="301" t="n"/>
      <c r="F56" s="301" t="n"/>
      <c r="G56" s="407" t="inlineStr">
        <is>
          <t>Papelería NT</t>
        </is>
      </c>
      <c r="H56" s="407" t="inlineStr">
        <is>
          <t>Ninguno</t>
        </is>
      </c>
      <c r="I56" s="408">
        <f>SUMIFS('Ing-Egr Abril 2026'!F4:F103,'Ing-Egr Abril 2026'!B4:B103,"Egreso NT",'Ing-Egr Abril 2026'!C4:C103,G56)</f>
        <v/>
      </c>
      <c r="J56" s="461" t="n"/>
      <c r="K56" s="301" t="n"/>
      <c r="L56" s="301" t="n"/>
    </row>
    <row r="57" ht="15" customHeight="1" s="221">
      <c r="A57" s="414" t="inlineStr">
        <is>
          <t>Claude Marco</t>
        </is>
      </c>
      <c r="B57" s="414" t="inlineStr">
        <is>
          <t>Ninguno</t>
        </is>
      </c>
      <c r="C57" s="415" t="n"/>
      <c r="D57" s="465" t="n"/>
      <c r="E57" s="301" t="n"/>
      <c r="F57" s="301" t="n"/>
      <c r="G57" s="403" t="inlineStr">
        <is>
          <t>Mantenimiento NT</t>
        </is>
      </c>
      <c r="H57" s="403" t="inlineStr">
        <is>
          <t>Ninguno</t>
        </is>
      </c>
      <c r="I57" s="404">
        <f>SUMIFS('Ing-Egr Abril 2026'!F4:F103,'Ing-Egr Abril 2026'!B4:B103,"Egreso NT",'Ing-Egr Abril 2026'!C4:C103,G57)</f>
        <v/>
      </c>
      <c r="J57" s="459" t="n"/>
      <c r="K57" s="301" t="n"/>
      <c r="L57" s="301" t="n"/>
    </row>
    <row r="58" ht="15" customHeight="1" s="221">
      <c r="A58" s="401" t="inlineStr">
        <is>
          <t>Claude Clara</t>
        </is>
      </c>
      <c r="B58" s="401" t="inlineStr">
        <is>
          <t>Ninguno</t>
        </is>
      </c>
      <c r="C58" s="402" t="n"/>
      <c r="D58" s="458" t="n"/>
      <c r="E58" s="301" t="n"/>
      <c r="F58" s="301" t="n"/>
      <c r="G58" s="407" t="inlineStr">
        <is>
          <t>Gastos Cursos NT</t>
        </is>
      </c>
      <c r="H58" s="407" t="inlineStr">
        <is>
          <t>Ninguno</t>
        </is>
      </c>
      <c r="I58" s="416">
        <f>SUMIFS('Ing-Egr Abril 2026'!F4:F103,'Ing-Egr Abril 2026'!B4:B103,"Egreso NT",'Ing-Egr Abril 2026'!C4:C103,G58)</f>
        <v/>
      </c>
      <c r="J58" s="461" t="n"/>
      <c r="K58" s="301" t="n"/>
      <c r="L58" s="301" t="n"/>
    </row>
    <row r="59" ht="15" customHeight="1" s="221">
      <c r="A59" s="405" t="inlineStr">
        <is>
          <t>iLovePDF</t>
        </is>
      </c>
      <c r="B59" s="405" t="inlineStr">
        <is>
          <t>Ninguno</t>
        </is>
      </c>
      <c r="C59" s="406" t="n"/>
      <c r="D59" s="460" t="n"/>
      <c r="E59" s="301" t="n"/>
      <c r="F59" s="301" t="n"/>
      <c r="G59" s="403" t="inlineStr">
        <is>
          <t>Gastos Varios NT</t>
        </is>
      </c>
      <c r="H59" s="403" t="inlineStr">
        <is>
          <t>Ninguno</t>
        </is>
      </c>
      <c r="I59" s="417">
        <f>SUMIFS('Ing-Egr Abril 2026'!F4:F103,'Ing-Egr Abril 2026'!B4:B103,"Egreso NT",'Ing-Egr Abril 2026'!C4:C103,G59)</f>
        <v/>
      </c>
      <c r="J59" s="459" t="n"/>
      <c r="K59" s="301" t="n"/>
      <c r="L59" s="301" t="n"/>
    </row>
    <row r="60" ht="15" customHeight="1" s="221">
      <c r="A60" s="410" t="inlineStr">
        <is>
          <t>Scribd</t>
        </is>
      </c>
      <c r="B60" s="410" t="inlineStr">
        <is>
          <t>Ninguno</t>
        </is>
      </c>
      <c r="C60" s="411" t="n"/>
      <c r="D60" s="463" t="n"/>
      <c r="E60" s="301" t="n"/>
      <c r="F60" s="301" t="n"/>
      <c r="G60" s="407" t="inlineStr">
        <is>
          <t>Reserva NT 1</t>
        </is>
      </c>
      <c r="H60" s="407" t="inlineStr">
        <is>
          <t>Ninguno</t>
        </is>
      </c>
      <c r="I60" s="408">
        <f>SUMIFS('Ing-Egr Abril 2026'!F4:F103,'Ing-Egr Abril 2026'!B4:B103,"Egreso NT",'Ing-Egr Abril 2026'!C4:C103,G60)</f>
        <v/>
      </c>
      <c r="J60" s="461" t="n"/>
      <c r="K60" s="301" t="n"/>
      <c r="L60" s="301" t="n"/>
    </row>
    <row r="61" ht="15" customHeight="1" s="221">
      <c r="A61" s="405" t="inlineStr">
        <is>
          <t>Netflix</t>
        </is>
      </c>
      <c r="B61" s="405" t="inlineStr">
        <is>
          <t>Ninguno</t>
        </is>
      </c>
      <c r="C61" s="406" t="n"/>
      <c r="D61" s="460" t="n"/>
      <c r="E61" s="301" t="n"/>
      <c r="F61" s="301" t="n"/>
      <c r="G61" s="403" t="inlineStr">
        <is>
          <t>Reserva NT 2</t>
        </is>
      </c>
      <c r="H61" s="403" t="inlineStr">
        <is>
          <t>Ninguno</t>
        </is>
      </c>
      <c r="I61" s="404">
        <f>SUMIFS('Ing-Egr Abril 2026'!F4:F103,'Ing-Egr Abril 2026'!B4:B103,"Egreso NT",'Ing-Egr Abril 2026'!C4:C103,G61)</f>
        <v/>
      </c>
      <c r="J61" s="459" t="n"/>
      <c r="K61" s="301" t="n"/>
      <c r="L61" s="301" t="n"/>
    </row>
    <row r="62" ht="15" customHeight="1" s="221">
      <c r="A62" s="413" t="inlineStr">
        <is>
          <t>► GASTOS VARIABLES 🔗</t>
        </is>
      </c>
      <c r="B62" s="256" t="n"/>
      <c r="C62" s="256" t="n"/>
      <c r="D62" s="353" t="n"/>
      <c r="E62" s="301" t="n"/>
      <c r="F62" s="301" t="n"/>
      <c r="G62" s="407" t="inlineStr">
        <is>
          <t>Reserva NT 3</t>
        </is>
      </c>
      <c r="H62" s="407" t="inlineStr">
        <is>
          <t>Ninguno</t>
        </is>
      </c>
      <c r="I62" s="408">
        <f>SUMIFS('Ing-Egr Abril 2026'!F4:F103,'Ing-Egr Abril 2026'!B4:B103,"Egreso NT",'Ing-Egr Abril 2026'!C4:C103,G62)</f>
        <v/>
      </c>
      <c r="J62" s="461" t="n"/>
      <c r="K62" s="301" t="n"/>
      <c r="L62" s="301" t="n"/>
    </row>
    <row r="63" ht="15" customHeight="1" s="221">
      <c r="A63" s="410" t="inlineStr">
        <is>
          <t>Combustible</t>
        </is>
      </c>
      <c r="B63" s="410" t="inlineStr">
        <is>
          <t>Ninguno</t>
        </is>
      </c>
      <c r="C63" s="411">
        <f>SUMIFS('Ing-Egr Abril 2026'!F4:F103,'Ing-Egr Abril 2026'!B4:B103,"Egreso Familiar",'Ing-Egr Abril 2026'!C4:C103,A63)</f>
        <v/>
      </c>
      <c r="D63" s="463" t="n"/>
      <c r="E63" s="301" t="n"/>
      <c r="F63" s="301" t="n"/>
      <c r="G63" s="301" t="n"/>
      <c r="H63" s="301" t="n"/>
      <c r="I63" s="301" t="n"/>
      <c r="J63" s="466" t="n"/>
      <c r="K63" s="301" t="n"/>
      <c r="L63" s="301" t="n"/>
    </row>
    <row r="64" ht="15" customHeight="1" s="221">
      <c r="A64" s="405" t="inlineStr">
        <is>
          <t>Supermercado</t>
        </is>
      </c>
      <c r="B64" s="405" t="inlineStr">
        <is>
          <t>Ninguno</t>
        </is>
      </c>
      <c r="C64" s="406">
        <f>SUMIFS('Ing-Egr Abril 2026'!F4:F103,'Ing-Egr Abril 2026'!B4:B103,"Egreso Familiar",'Ing-Egr Abril 2026'!C4:C103,A64)</f>
        <v/>
      </c>
      <c r="D64" s="460" t="n"/>
      <c r="E64" s="301" t="n"/>
      <c r="F64" s="301" t="n"/>
      <c r="G64" s="418" t="inlineStr">
        <is>
          <t>TOTAL NT PAGADOS</t>
        </is>
      </c>
      <c r="I64" s="419">
        <f>SUMIF(H30:H62,"Pagado",I30:I62)</f>
        <v/>
      </c>
      <c r="J64" s="467" t="n"/>
      <c r="K64" s="301" t="n"/>
      <c r="L64" s="301" t="n"/>
    </row>
    <row r="65" ht="15" customHeight="1" s="221">
      <c r="A65" s="410" t="inlineStr">
        <is>
          <t>Farmacia</t>
        </is>
      </c>
      <c r="B65" s="410" t="inlineStr">
        <is>
          <t>Ninguno</t>
        </is>
      </c>
      <c r="C65" s="411">
        <f>SUMIFS('Ing-Egr Abril 2026'!F4:F103,'Ing-Egr Abril 2026'!B4:B103,"Egreso Familiar",'Ing-Egr Abril 2026'!C4:C103,A65)</f>
        <v/>
      </c>
      <c r="D65" s="468">
        <f>C72</f>
        <v/>
      </c>
      <c r="E65" s="301" t="n"/>
      <c r="F65" s="301" t="n"/>
      <c r="G65" s="422" t="inlineStr">
        <is>
          <t>TOTAL NT PENDIENTES</t>
        </is>
      </c>
      <c r="I65" s="423">
        <f>SUMIF(H30:H62,"Pendiente",I30:I62)</f>
        <v/>
      </c>
      <c r="J65" s="469" t="n"/>
      <c r="K65" s="301" t="n"/>
      <c r="L65" s="301" t="n"/>
    </row>
    <row r="66" ht="15" customHeight="1" s="221">
      <c r="A66" s="405" t="inlineStr">
        <is>
          <t>Recreación</t>
        </is>
      </c>
      <c r="B66" s="405" t="inlineStr">
        <is>
          <t>Ninguno</t>
        </is>
      </c>
      <c r="C66" s="406">
        <f>SUMIFS('Ing-Egr Abril 2026'!F4:F103,'Ing-Egr Abril 2026'!B4:B103,"Egreso Familiar",'Ing-Egr Abril 2026'!C4:C103,A66)</f>
        <v/>
      </c>
      <c r="D66" s="470">
        <f>C73</f>
        <v/>
      </c>
      <c r="E66" s="301" t="n"/>
      <c r="F66" s="301" t="n"/>
      <c r="G66" s="301" t="n"/>
      <c r="H66" s="301" t="n"/>
      <c r="I66" s="301" t="n"/>
      <c r="J66" s="466" t="n"/>
      <c r="K66" s="301" t="n"/>
      <c r="L66" s="301" t="n"/>
    </row>
    <row r="67" ht="15" customHeight="1" s="221">
      <c r="A67" s="410" t="inlineStr">
        <is>
          <t>Gastos Varios</t>
        </is>
      </c>
      <c r="B67" s="410" t="inlineStr">
        <is>
          <t>Ninguno</t>
        </is>
      </c>
      <c r="C67" s="411">
        <f>SUMIFS('Ing-Egr Abril 2026'!F4:F103,'Ing-Egr Abril 2026'!B4:B103,"Egreso Familiar",'Ing-Egr Abril 2026'!C4:C103,A67)</f>
        <v/>
      </c>
      <c r="D67" s="463" t="n"/>
      <c r="E67" s="301" t="n"/>
      <c r="F67" s="301" t="n"/>
      <c r="G67" s="386" t="inlineStr">
        <is>
          <t>📊 SALUD FINANCIERA NEUROTEA</t>
        </is>
      </c>
      <c r="L67" s="301" t="n"/>
    </row>
    <row r="68" ht="15" customHeight="1" s="221">
      <c r="A68" s="405" t="inlineStr">
        <is>
          <t>Reserva Fam 1</t>
        </is>
      </c>
      <c r="B68" s="405" t="inlineStr">
        <is>
          <t>Ninguno</t>
        </is>
      </c>
      <c r="C68" s="406">
        <f>SUMIFS('Ing-Egr Abril 2026'!F4:F103,'Ing-Egr Abril 2026'!B4:B103,"Egreso Familiar",'Ing-Egr Abril 2026'!C4:C103,A68)</f>
        <v/>
      </c>
      <c r="D68" s="460" t="n"/>
      <c r="E68" s="301" t="n"/>
      <c r="F68" s="301" t="n"/>
      <c r="G68" s="398" t="inlineStr">
        <is>
          <t>Concepto</t>
        </is>
      </c>
      <c r="H68" s="398" t="inlineStr">
        <is>
          <t>% Ideal</t>
        </is>
      </c>
      <c r="I68" s="426" t="inlineStr">
        <is>
          <t>Monto Ideal</t>
        </is>
      </c>
      <c r="J68" s="471" t="inlineStr">
        <is>
          <t>Monto Real</t>
        </is>
      </c>
      <c r="K68" s="398" t="inlineStr">
        <is>
          <t>Estado</t>
        </is>
      </c>
      <c r="L68" s="301" t="n"/>
    </row>
    <row r="69" ht="15" customHeight="1" s="221">
      <c r="A69" s="410" t="inlineStr">
        <is>
          <t>Reserva Fam 2</t>
        </is>
      </c>
      <c r="B69" s="410" t="inlineStr">
        <is>
          <t>Ninguno</t>
        </is>
      </c>
      <c r="C69" s="411">
        <f>SUMIFS('Ing-Egr Abril 2026'!F4:F103,'Ing-Egr Abril 2026'!B4:B103,"Egreso Familiar",'Ing-Egr Abril 2026'!C4:C103,A69)</f>
        <v/>
      </c>
      <c r="D69" s="463" t="n"/>
      <c r="E69" s="301" t="n"/>
      <c r="F69" s="301" t="n"/>
      <c r="G69" s="301" t="inlineStr">
        <is>
          <t>Gastos Operativos (máx 75%)</t>
        </is>
      </c>
      <c r="H69" s="427" t="n">
        <v>0.75</v>
      </c>
      <c r="I69" s="328">
        <f>J12*0.75</f>
        <v/>
      </c>
      <c r="J69" s="466">
        <f>I64+I65</f>
        <v/>
      </c>
      <c r="K69" s="428">
        <f>IF(J12=0,"-",IF(J69/J12&lt;=0.75,"🟢 OK",IF(J69/J12&lt;=0.9,"🟡 PRECAUCIÓN","🔴 ALARMA")))</f>
        <v/>
      </c>
      <c r="L69" s="301" t="n"/>
    </row>
    <row r="70" ht="15" customHeight="1" s="221">
      <c r="A70" s="414" t="inlineStr">
        <is>
          <t>Reserva Fam 3</t>
        </is>
      </c>
      <c r="B70" s="414" t="inlineStr">
        <is>
          <t>Ninguno</t>
        </is>
      </c>
      <c r="C70" s="415">
        <f>SUMIFS('Ing-Egr Abril 2026'!F4:F103,'Ing-Egr Abril 2026'!B4:B103,"Egreso Familiar",'Ing-Egr Abril 2026'!C4:C103,A70)</f>
        <v/>
      </c>
      <c r="D70" s="465" t="n"/>
      <c r="E70" s="301" t="n"/>
      <c r="F70" s="301" t="n"/>
      <c r="G70" s="301" t="inlineStr">
        <is>
          <t>Ganancia (10%)</t>
        </is>
      </c>
      <c r="H70" s="427" t="n">
        <v>0.1</v>
      </c>
      <c r="I70" s="328">
        <f>J12*0.1</f>
        <v/>
      </c>
      <c r="J70" s="466">
        <f>D22</f>
        <v/>
      </c>
      <c r="K70" s="429">
        <f>IF(J70&gt;=I70,"🟢","🔴")</f>
        <v/>
      </c>
      <c r="L70" s="301" t="n"/>
    </row>
    <row r="71" ht="15" customHeight="1" s="221">
      <c r="A71" s="301" t="n"/>
      <c r="B71" s="301" t="n"/>
      <c r="C71" s="301" t="n"/>
      <c r="D71" s="301" t="n"/>
      <c r="E71" s="301" t="n"/>
      <c r="F71" s="301" t="n"/>
      <c r="G71" s="301" t="inlineStr">
        <is>
          <t>Inversiones (5%)</t>
        </is>
      </c>
      <c r="H71" s="427" t="n">
        <v>0.05</v>
      </c>
      <c r="I71" s="328">
        <f>J12*0.05</f>
        <v/>
      </c>
      <c r="J71" s="328" t="n">
        <v>0</v>
      </c>
      <c r="K71" s="429">
        <f>IF(J71&gt;=I71,"🟢","🔴")</f>
        <v/>
      </c>
      <c r="L71" s="301" t="n"/>
    </row>
    <row r="72" ht="15" customHeight="1" s="221">
      <c r="A72" s="430" t="inlineStr">
        <is>
          <t>TOTAL FAM. PAGADOS</t>
        </is>
      </c>
      <c r="B72" s="353" t="n"/>
      <c r="C72" s="431">
        <f>SUMIF(B30:B70,"Pagado",C30:C70)</f>
        <v/>
      </c>
      <c r="D72" s="432" t="n"/>
      <c r="E72" s="301" t="n"/>
      <c r="F72" s="301" t="n"/>
      <c r="G72" s="301" t="inlineStr">
        <is>
          <t>Imprevistos (5%)</t>
        </is>
      </c>
      <c r="H72" s="427" t="n">
        <v>0.05</v>
      </c>
      <c r="I72" s="328">
        <f>J12*0.05</f>
        <v/>
      </c>
      <c r="J72" s="328" t="n">
        <v>0</v>
      </c>
      <c r="K72" s="429">
        <f>IF(J72&gt;=I72,"🟢","🔴")</f>
        <v/>
      </c>
      <c r="L72" s="301" t="n"/>
    </row>
    <row r="73" ht="15" customHeight="1" s="221">
      <c r="A73" s="433" t="inlineStr">
        <is>
          <t>TOTAL FAM. PENDIENTES</t>
        </is>
      </c>
      <c r="B73" s="353" t="n"/>
      <c r="C73" s="434">
        <f>SUMIF(B30:B70,"Pendiente",C30:C70)</f>
        <v/>
      </c>
      <c r="D73" s="435" t="n"/>
      <c r="E73" s="301" t="n"/>
      <c r="F73" s="301" t="n"/>
      <c r="G73" s="301" t="inlineStr">
        <is>
          <t>Desvío Imprevisto (5%)</t>
        </is>
      </c>
      <c r="H73" s="427" t="n">
        <v>0.05</v>
      </c>
      <c r="I73" s="328">
        <f>J12*0.05</f>
        <v/>
      </c>
      <c r="J73" s="328" t="n">
        <v>0</v>
      </c>
      <c r="K73" s="429">
        <f>IF(J73&gt;=I73,"🟢","🔴")</f>
        <v/>
      </c>
      <c r="L73" s="301" t="n"/>
    </row>
    <row r="74" ht="15" customHeight="1" s="221">
      <c r="A74" s="354" t="n"/>
      <c r="B74" s="354" t="n"/>
      <c r="C74" s="359" t="n"/>
      <c r="D74" s="360" t="n"/>
      <c r="E74" s="301" t="n"/>
      <c r="F74" s="301" t="n"/>
      <c r="G74" s="223" t="inlineStr">
        <is>
          <t>TOTAL</t>
        </is>
      </c>
      <c r="H74" s="436">
        <f>SUM(H69:H73)</f>
        <v/>
      </c>
      <c r="I74" s="437">
        <f>SUM(I69:I73)</f>
        <v/>
      </c>
      <c r="J74" s="437">
        <f>SUM(J69:J73)</f>
        <v/>
      </c>
      <c r="K74" s="301" t="n"/>
      <c r="L74" s="301" t="n"/>
    </row>
    <row r="75" ht="15" customHeight="1" s="221">
      <c r="A75" s="354" t="n"/>
      <c r="B75" s="354" t="n"/>
      <c r="C75" s="359" t="n"/>
      <c r="D75" s="360" t="n"/>
      <c r="E75" s="301" t="n"/>
      <c r="F75" s="301" t="n"/>
      <c r="G75" s="301" t="n"/>
      <c r="H75" s="301" t="n"/>
      <c r="I75" s="301" t="n"/>
      <c r="J75" s="301" t="n"/>
      <c r="K75" s="301" t="n"/>
      <c r="L75" s="301" t="n"/>
    </row>
    <row r="76" ht="15" customHeight="1" s="221">
      <c r="A76" s="354" t="n"/>
      <c r="B76" s="354" t="n"/>
      <c r="C76" s="359" t="n"/>
      <c r="D76" s="360" t="n"/>
      <c r="E76" s="301" t="n"/>
      <c r="F76" s="301" t="n"/>
      <c r="G76" s="223" t="inlineStr">
        <is>
          <t>% GASTOS SOBRE INGRESO:</t>
        </is>
      </c>
      <c r="H76" s="301" t="n"/>
      <c r="I76" s="301" t="n"/>
      <c r="J76" s="438">
        <f>IF(J12=0,0,J69/J12)</f>
        <v/>
      </c>
      <c r="K76" s="301" t="n"/>
      <c r="L76" s="301" t="n"/>
    </row>
    <row r="77" ht="15" customHeight="1" s="221">
      <c r="A77" s="354" t="n"/>
      <c r="B77" s="354" t="n"/>
      <c r="C77" s="359" t="n"/>
      <c r="D77" s="360" t="n"/>
      <c r="E77" s="301" t="n"/>
      <c r="F77" s="301" t="n"/>
      <c r="G77" s="223" t="inlineStr">
        <is>
          <t>DIAGNÓSTICO:</t>
        </is>
      </c>
      <c r="H77" s="301" t="n"/>
      <c r="I77" s="301" t="n"/>
      <c r="J77" s="439">
        <f>IF(J12=0,"Sin datos",IF(J69/J12&lt;=0.75,"🟢 CLÍNICA SANA",IF(J69/J12&lt;=0.9,"🟡 REVISAR GASTOS","🔴 SITUACIÓN CRÍTICA")))</f>
        <v/>
      </c>
      <c r="L77" s="301" t="n"/>
    </row>
    <row r="78" ht="15" customHeight="1" s="221">
      <c r="A78" s="354" t="n"/>
      <c r="B78" s="354" t="n"/>
      <c r="C78" s="359" t="n"/>
      <c r="D78" s="360" t="n"/>
      <c r="E78" s="301" t="n"/>
      <c r="F78" s="301" t="n"/>
      <c r="G78" s="301" t="n"/>
      <c r="H78" s="301" t="n"/>
      <c r="I78" s="301" t="n"/>
      <c r="J78" s="301" t="n"/>
      <c r="K78" s="301" t="n"/>
      <c r="L78" s="301" t="n"/>
    </row>
    <row r="79" ht="15" customHeight="1" s="221">
      <c r="A79" s="354" t="n"/>
      <c r="B79" s="354" t="n"/>
      <c r="C79" s="359" t="n"/>
      <c r="D79" s="360" t="n"/>
      <c r="E79" s="301" t="n"/>
      <c r="F79" s="301" t="n"/>
      <c r="G79" s="301" t="n"/>
      <c r="H79" s="301" t="n"/>
      <c r="I79" s="301" t="n"/>
      <c r="J79" s="301" t="n"/>
      <c r="K79" s="301" t="n"/>
      <c r="L79" s="301" t="n"/>
    </row>
    <row r="80" ht="15" customHeight="1" s="221">
      <c r="A80" s="301" t="n"/>
      <c r="B80" s="301" t="n"/>
      <c r="C80" s="328" t="n"/>
      <c r="D80" s="301" t="n"/>
      <c r="E80" s="301" t="n"/>
      <c r="F80" s="301" t="n"/>
      <c r="G80" s="301" t="n"/>
      <c r="H80" s="301" t="n"/>
      <c r="I80" s="301" t="n"/>
      <c r="J80" s="301" t="n"/>
      <c r="K80" s="301" t="n"/>
      <c r="L80" s="301" t="n"/>
    </row>
    <row r="81" ht="15.75" customHeight="1" s="221">
      <c r="A81" s="301" t="n"/>
      <c r="B81" s="301" t="n"/>
      <c r="C81" s="328" t="n"/>
      <c r="D81" s="301" t="n"/>
      <c r="E81" s="301" t="n"/>
      <c r="F81" s="301" t="n"/>
      <c r="G81" s="301" t="n"/>
      <c r="H81" s="301" t="n"/>
      <c r="I81" s="301" t="n"/>
      <c r="J81" s="301" t="n"/>
      <c r="K81" s="301" t="n"/>
      <c r="L81" s="301" t="n"/>
    </row>
    <row r="82" ht="15.75" customHeight="1" s="221">
      <c r="A82" s="301" t="n"/>
      <c r="B82" s="301" t="n"/>
      <c r="C82" s="328" t="n"/>
      <c r="D82" s="301" t="n"/>
      <c r="E82" s="301" t="n"/>
      <c r="F82" s="301" t="n"/>
      <c r="G82" s="301" t="n"/>
      <c r="H82" s="301" t="n"/>
      <c r="I82" s="301" t="n"/>
      <c r="J82" s="301" t="n"/>
      <c r="K82" s="301" t="n"/>
      <c r="L82" s="301" t="n"/>
    </row>
    <row r="83" ht="15" customHeight="1" s="221">
      <c r="A83" s="301" t="n"/>
      <c r="B83" s="301" t="n"/>
      <c r="C83" s="301" t="n"/>
      <c r="D83" s="301" t="n"/>
      <c r="E83" s="301" t="n"/>
      <c r="F83" s="301" t="n"/>
      <c r="G83" s="301" t="n"/>
      <c r="H83" s="301" t="n"/>
      <c r="I83" s="301" t="n"/>
      <c r="J83" s="301" t="n"/>
      <c r="K83" s="301" t="n"/>
      <c r="L83" s="301" t="n"/>
    </row>
    <row r="84" ht="15" customHeight="1" s="221">
      <c r="A84" s="301" t="n"/>
      <c r="B84" s="301" t="n"/>
      <c r="C84" s="301" t="n"/>
      <c r="D84" s="301" t="n"/>
      <c r="E84" s="301" t="n"/>
      <c r="F84" s="301" t="n"/>
      <c r="G84" s="301" t="n"/>
      <c r="H84" s="301" t="n"/>
      <c r="I84" s="301" t="n"/>
      <c r="J84" s="301" t="n"/>
      <c r="K84" s="301" t="n"/>
      <c r="L84" s="301" t="n"/>
    </row>
    <row r="85" ht="15" customHeight="1" s="221">
      <c r="A85" s="354" t="n"/>
      <c r="B85" s="354" t="n"/>
      <c r="C85" s="354" t="n"/>
      <c r="D85" s="354" t="n"/>
      <c r="E85" s="301" t="n"/>
      <c r="F85" s="301" t="n"/>
      <c r="G85" s="301" t="n"/>
      <c r="H85" s="301" t="n"/>
      <c r="I85" s="301" t="n"/>
      <c r="J85" s="301" t="n"/>
      <c r="K85" s="301" t="n"/>
      <c r="L85" s="301" t="n"/>
    </row>
    <row r="86" ht="15" customHeight="1" s="221">
      <c r="A86" s="301" t="n"/>
      <c r="B86" s="301" t="n"/>
      <c r="C86" s="301" t="n"/>
      <c r="D86" s="301" t="n"/>
      <c r="E86" s="301" t="n"/>
      <c r="F86" s="301" t="n"/>
      <c r="G86" s="301" t="n"/>
      <c r="H86" s="301" t="n"/>
      <c r="I86" s="301" t="n"/>
      <c r="J86" s="301" t="n"/>
      <c r="K86" s="301" t="n"/>
      <c r="L86" s="301" t="n"/>
    </row>
    <row r="87" ht="15" customHeight="1" s="221">
      <c r="A87" s="354" t="n"/>
      <c r="B87" s="354" t="n"/>
      <c r="C87" s="359" t="n"/>
      <c r="D87" s="360" t="n"/>
      <c r="E87" s="301" t="n"/>
      <c r="F87" s="301" t="n"/>
      <c r="G87" s="301" t="n"/>
      <c r="H87" s="301" t="n"/>
      <c r="I87" s="301" t="n"/>
      <c r="J87" s="301" t="n"/>
      <c r="K87" s="301" t="n"/>
      <c r="L87" s="301" t="n"/>
    </row>
    <row r="88" ht="15" customHeight="1" s="221">
      <c r="A88" s="354" t="n"/>
      <c r="B88" s="354" t="n"/>
      <c r="C88" s="359" t="n"/>
      <c r="D88" s="360" t="n"/>
      <c r="E88" s="301" t="n"/>
      <c r="F88" s="301" t="n"/>
      <c r="G88" s="301" t="n"/>
      <c r="H88" s="301" t="n"/>
      <c r="I88" s="301" t="n"/>
      <c r="J88" s="301" t="n"/>
      <c r="K88" s="301" t="n"/>
      <c r="L88" s="301" t="n"/>
    </row>
    <row r="89" ht="15" customHeight="1" s="221">
      <c r="A89" s="354" t="n"/>
      <c r="B89" s="354" t="n"/>
      <c r="C89" s="359" t="n"/>
      <c r="D89" s="360" t="n"/>
      <c r="E89" s="301" t="n"/>
      <c r="F89" s="301" t="n"/>
      <c r="G89" s="301" t="n"/>
      <c r="H89" s="301" t="n"/>
      <c r="I89" s="301" t="n"/>
      <c r="J89" s="301" t="n"/>
      <c r="K89" s="301" t="n"/>
      <c r="L89" s="301" t="n"/>
    </row>
    <row r="90" ht="15" customHeight="1" s="221">
      <c r="A90" s="354" t="n"/>
      <c r="B90" s="354" t="n"/>
      <c r="C90" s="359" t="n"/>
      <c r="D90" s="360" t="n"/>
      <c r="E90" s="301" t="n"/>
      <c r="F90" s="301" t="n"/>
      <c r="G90" s="301" t="n"/>
      <c r="H90" s="301" t="n"/>
      <c r="I90" s="301" t="n"/>
      <c r="J90" s="301" t="n"/>
      <c r="K90" s="301" t="n"/>
      <c r="L90" s="301" t="n"/>
    </row>
    <row r="91" ht="15" customHeight="1" s="221">
      <c r="A91" s="301" t="n"/>
      <c r="B91" s="301" t="n"/>
      <c r="C91" s="328" t="n"/>
      <c r="D91" s="301" t="n"/>
      <c r="E91" s="301" t="n"/>
      <c r="F91" s="301" t="n"/>
      <c r="G91" s="301" t="n"/>
      <c r="H91" s="301" t="n"/>
      <c r="I91" s="301" t="n"/>
      <c r="J91" s="301" t="n"/>
      <c r="K91" s="301" t="n"/>
      <c r="L91" s="301" t="n"/>
    </row>
    <row r="92" ht="15" customHeight="1" s="221">
      <c r="A92" s="301" t="n"/>
      <c r="B92" s="301" t="n"/>
      <c r="C92" s="301" t="n"/>
      <c r="D92" s="301" t="n"/>
      <c r="E92" s="301" t="n"/>
      <c r="F92" s="301" t="n"/>
      <c r="G92" s="301" t="n"/>
      <c r="H92" s="301" t="n"/>
      <c r="I92" s="301" t="n"/>
      <c r="J92" s="301" t="n"/>
      <c r="K92" s="301" t="n"/>
      <c r="L92" s="301" t="n"/>
    </row>
    <row r="93" ht="15" customHeight="1" s="221">
      <c r="A93" s="354" t="n"/>
      <c r="B93" s="354" t="n"/>
      <c r="C93" s="359" t="n"/>
      <c r="D93" s="360" t="n"/>
      <c r="E93" s="301" t="n"/>
      <c r="F93" s="301" t="n"/>
      <c r="G93" s="301" t="n"/>
      <c r="H93" s="301" t="n"/>
      <c r="I93" s="301" t="n"/>
      <c r="J93" s="301" t="n"/>
      <c r="K93" s="301" t="n"/>
      <c r="L93" s="301" t="n"/>
    </row>
    <row r="94" ht="15" customHeight="1" s="221">
      <c r="A94" s="354" t="n"/>
      <c r="B94" s="354" t="n"/>
      <c r="C94" s="359" t="n"/>
      <c r="D94" s="360" t="n"/>
      <c r="E94" s="301" t="n"/>
      <c r="F94" s="301" t="n"/>
      <c r="G94" s="301" t="n"/>
      <c r="H94" s="301" t="n"/>
      <c r="I94" s="301" t="n"/>
      <c r="J94" s="301" t="n"/>
      <c r="K94" s="301" t="n"/>
      <c r="L94" s="301" t="n"/>
    </row>
    <row r="95" ht="15" customHeight="1" s="221">
      <c r="A95" s="354" t="n"/>
      <c r="B95" s="354" t="n"/>
      <c r="C95" s="359" t="n"/>
      <c r="D95" s="360" t="n"/>
      <c r="E95" s="301" t="n"/>
      <c r="F95" s="301" t="n"/>
      <c r="G95" s="301" t="n"/>
      <c r="H95" s="301" t="n"/>
      <c r="I95" s="301" t="n"/>
      <c r="J95" s="301" t="n"/>
      <c r="K95" s="301" t="n"/>
      <c r="L95" s="301" t="n"/>
    </row>
    <row r="96" ht="15" customHeight="1" s="221">
      <c r="A96" s="354" t="n"/>
      <c r="B96" s="354" t="n"/>
      <c r="C96" s="359" t="n"/>
      <c r="D96" s="360" t="n"/>
      <c r="E96" s="301" t="n"/>
      <c r="F96" s="301" t="n"/>
      <c r="G96" s="301" t="n"/>
      <c r="H96" s="301" t="n"/>
      <c r="I96" s="301" t="n"/>
      <c r="J96" s="301" t="n"/>
      <c r="K96" s="301" t="n"/>
      <c r="L96" s="301" t="n"/>
    </row>
    <row r="97" ht="15" customHeight="1" s="221">
      <c r="A97" s="354" t="n"/>
      <c r="B97" s="354" t="n"/>
      <c r="C97" s="359" t="n"/>
      <c r="D97" s="360" t="n"/>
      <c r="E97" s="301" t="n"/>
      <c r="F97" s="301" t="n"/>
      <c r="G97" s="301" t="n"/>
      <c r="H97" s="301" t="n"/>
      <c r="I97" s="301" t="n"/>
      <c r="J97" s="301" t="n"/>
      <c r="K97" s="301" t="n"/>
      <c r="L97" s="301" t="n"/>
    </row>
    <row r="98" ht="15" customHeight="1" s="221">
      <c r="A98" s="354" t="n"/>
      <c r="B98" s="354" t="n"/>
      <c r="C98" s="359" t="n"/>
      <c r="D98" s="360" t="n"/>
      <c r="E98" s="301" t="n"/>
      <c r="F98" s="301" t="n"/>
      <c r="G98" s="301" t="n"/>
      <c r="H98" s="301" t="n"/>
      <c r="I98" s="301" t="n"/>
      <c r="J98" s="301" t="n"/>
      <c r="K98" s="301" t="n"/>
      <c r="L98" s="301" t="n"/>
    </row>
    <row r="99" ht="15" customHeight="1" s="221">
      <c r="A99" s="301" t="n"/>
      <c r="B99" s="301" t="n"/>
      <c r="C99" s="328" t="n"/>
      <c r="D99" s="301" t="n"/>
      <c r="E99" s="301" t="n"/>
      <c r="F99" s="301" t="n"/>
      <c r="G99" s="301" t="n"/>
      <c r="H99" s="301" t="n"/>
      <c r="I99" s="301" t="n"/>
      <c r="J99" s="301" t="n"/>
      <c r="K99" s="301" t="n"/>
      <c r="L99" s="301" t="n"/>
    </row>
    <row r="100" ht="15" customHeight="1" s="221">
      <c r="A100" s="301" t="n"/>
      <c r="B100" s="301" t="n"/>
      <c r="C100" s="301" t="n"/>
      <c r="D100" s="301" t="n"/>
      <c r="E100" s="301" t="n"/>
      <c r="F100" s="301" t="n"/>
      <c r="G100" s="301" t="n"/>
      <c r="H100" s="301" t="n"/>
      <c r="I100" s="301" t="n"/>
      <c r="J100" s="301" t="n"/>
      <c r="K100" s="301" t="n"/>
      <c r="L100" s="301" t="n"/>
    </row>
    <row r="101" ht="15" customHeight="1" s="221">
      <c r="A101" s="354" t="n"/>
      <c r="B101" s="354" t="n"/>
      <c r="C101" s="359" t="n"/>
      <c r="D101" s="360" t="n"/>
      <c r="E101" s="301" t="n"/>
      <c r="F101" s="301" t="n"/>
      <c r="G101" s="301" t="n"/>
      <c r="H101" s="301" t="n"/>
      <c r="I101" s="301" t="n"/>
      <c r="J101" s="301" t="n"/>
      <c r="K101" s="301" t="n"/>
      <c r="L101" s="301" t="n"/>
    </row>
    <row r="102" ht="15" customHeight="1" s="221">
      <c r="A102" s="354" t="n"/>
      <c r="B102" s="354" t="n"/>
      <c r="C102" s="359" t="n"/>
      <c r="D102" s="360" t="n"/>
      <c r="E102" s="301" t="n"/>
      <c r="F102" s="301" t="n"/>
      <c r="G102" s="301" t="n"/>
      <c r="H102" s="301" t="n"/>
      <c r="I102" s="301" t="n"/>
      <c r="J102" s="301" t="n"/>
      <c r="K102" s="301" t="n"/>
      <c r="L102" s="301" t="n"/>
    </row>
    <row r="103" ht="15" customHeight="1" s="221">
      <c r="A103" s="354" t="n"/>
      <c r="B103" s="354" t="n"/>
      <c r="C103" s="359" t="n"/>
      <c r="D103" s="360" t="n"/>
      <c r="E103" s="301" t="n"/>
      <c r="F103" s="301" t="n"/>
      <c r="G103" s="301" t="n"/>
      <c r="H103" s="301" t="n"/>
      <c r="I103" s="301" t="n"/>
      <c r="J103" s="301" t="n"/>
      <c r="K103" s="301" t="n"/>
      <c r="L103" s="301" t="n"/>
    </row>
    <row r="104" ht="15" customHeight="1" s="221">
      <c r="A104" s="354" t="n"/>
      <c r="B104" s="354" t="n"/>
      <c r="C104" s="359" t="n"/>
      <c r="D104" s="360" t="n"/>
      <c r="E104" s="301" t="n"/>
      <c r="F104" s="301" t="n"/>
      <c r="G104" s="301" t="n"/>
      <c r="H104" s="301" t="n"/>
      <c r="I104" s="301" t="n"/>
      <c r="J104" s="301" t="n"/>
      <c r="K104" s="301" t="n"/>
      <c r="L104" s="301" t="n"/>
    </row>
    <row r="105" ht="15" customHeight="1" s="221">
      <c r="A105" s="354" t="n"/>
      <c r="B105" s="354" t="n"/>
      <c r="C105" s="359" t="n"/>
      <c r="D105" s="360" t="n"/>
      <c r="E105" s="301" t="n"/>
      <c r="F105" s="301" t="n"/>
      <c r="G105" s="301" t="n"/>
      <c r="H105" s="301" t="n"/>
      <c r="I105" s="301" t="n"/>
      <c r="J105" s="301" t="n"/>
      <c r="K105" s="301" t="n"/>
      <c r="L105" s="301" t="n"/>
    </row>
    <row r="106" ht="15" customHeight="1" s="221">
      <c r="A106" s="301" t="n"/>
      <c r="B106" s="301" t="n"/>
      <c r="C106" s="328" t="n"/>
      <c r="D106" s="301" t="n"/>
      <c r="E106" s="301" t="n"/>
      <c r="F106" s="301" t="n"/>
      <c r="G106" s="301" t="n"/>
      <c r="H106" s="301" t="n"/>
      <c r="I106" s="301" t="n"/>
      <c r="J106" s="301" t="n"/>
      <c r="K106" s="301" t="n"/>
      <c r="L106" s="301" t="n"/>
    </row>
    <row r="107" ht="15" customHeight="1" s="221">
      <c r="A107" s="301" t="n"/>
      <c r="B107" s="301" t="n"/>
      <c r="C107" s="301" t="n"/>
      <c r="D107" s="301" t="n"/>
      <c r="E107" s="301" t="n"/>
      <c r="F107" s="301" t="n"/>
      <c r="G107" s="301" t="n"/>
      <c r="H107" s="301" t="n"/>
      <c r="I107" s="301" t="n"/>
      <c r="J107" s="301" t="n"/>
      <c r="K107" s="301" t="n"/>
      <c r="L107" s="301" t="n"/>
    </row>
    <row r="108" ht="15" customHeight="1" s="221">
      <c r="A108" s="354" t="n"/>
      <c r="B108" s="354" t="n"/>
      <c r="C108" s="359" t="n"/>
      <c r="D108" s="360" t="n"/>
      <c r="E108" s="301" t="n"/>
      <c r="F108" s="301" t="n"/>
      <c r="G108" s="301" t="n"/>
      <c r="H108" s="301" t="n"/>
      <c r="I108" s="301" t="n"/>
      <c r="J108" s="301" t="n"/>
      <c r="K108" s="301" t="n"/>
      <c r="L108" s="301" t="n"/>
    </row>
    <row r="109" ht="15" customHeight="1" s="221">
      <c r="A109" s="354" t="n"/>
      <c r="B109" s="354" t="n"/>
      <c r="C109" s="359" t="n"/>
      <c r="D109" s="360" t="n"/>
      <c r="E109" s="301" t="n"/>
      <c r="F109" s="301" t="n"/>
      <c r="G109" s="301" t="n"/>
      <c r="H109" s="301" t="n"/>
      <c r="I109" s="301" t="n"/>
      <c r="J109" s="301" t="n"/>
      <c r="K109" s="301" t="n"/>
      <c r="L109" s="301" t="n"/>
    </row>
    <row r="110" ht="15" customHeight="1" s="221">
      <c r="A110" s="301" t="n"/>
      <c r="B110" s="301" t="n"/>
      <c r="C110" s="328" t="n"/>
      <c r="D110" s="301" t="n"/>
      <c r="E110" s="301" t="n"/>
      <c r="F110" s="301" t="n"/>
      <c r="G110" s="301" t="n"/>
      <c r="H110" s="301" t="n"/>
      <c r="I110" s="301" t="n"/>
      <c r="J110" s="301" t="n"/>
      <c r="K110" s="301" t="n"/>
      <c r="L110" s="301" t="n"/>
    </row>
    <row r="111" ht="15" customHeight="1" s="221">
      <c r="A111" s="301" t="n"/>
      <c r="B111" s="301" t="n"/>
      <c r="C111" s="301" t="n"/>
      <c r="D111" s="301" t="n"/>
      <c r="E111" s="301" t="n"/>
      <c r="F111" s="301" t="n"/>
      <c r="G111" s="301" t="n"/>
      <c r="H111" s="301" t="n"/>
      <c r="I111" s="301" t="n"/>
      <c r="J111" s="301" t="n"/>
      <c r="K111" s="301" t="n"/>
      <c r="L111" s="301" t="n"/>
    </row>
    <row r="112" ht="15" customHeight="1" s="221">
      <c r="A112" s="354" t="n"/>
      <c r="B112" s="354" t="n"/>
      <c r="C112" s="359" t="n"/>
      <c r="D112" s="360" t="n"/>
      <c r="E112" s="301" t="n"/>
      <c r="F112" s="301" t="n"/>
      <c r="G112" s="301" t="n"/>
      <c r="H112" s="301" t="n"/>
      <c r="I112" s="301" t="n"/>
      <c r="J112" s="301" t="n"/>
      <c r="K112" s="301" t="n"/>
      <c r="L112" s="301" t="n"/>
    </row>
    <row r="113" ht="15" customHeight="1" s="221">
      <c r="A113" s="354" t="n"/>
      <c r="B113" s="354" t="n"/>
      <c r="C113" s="359" t="n"/>
      <c r="D113" s="360" t="n"/>
      <c r="E113" s="301" t="n"/>
      <c r="F113" s="301" t="n"/>
      <c r="G113" s="301" t="n"/>
      <c r="H113" s="301" t="n"/>
      <c r="I113" s="301" t="n"/>
      <c r="J113" s="301" t="n"/>
      <c r="K113" s="301" t="n"/>
      <c r="L113" s="301" t="n"/>
    </row>
    <row r="114" ht="15" customHeight="1" s="221">
      <c r="A114" s="354" t="n"/>
      <c r="B114" s="354" t="n"/>
      <c r="C114" s="359" t="n"/>
      <c r="D114" s="360" t="n"/>
      <c r="E114" s="301" t="n"/>
      <c r="F114" s="301" t="n"/>
      <c r="G114" s="301" t="n"/>
      <c r="H114" s="301" t="n"/>
      <c r="I114" s="301" t="n"/>
      <c r="J114" s="301" t="n"/>
      <c r="K114" s="301" t="n"/>
      <c r="L114" s="301" t="n"/>
    </row>
    <row r="115" ht="15" customHeight="1" s="221">
      <c r="A115" s="354" t="n"/>
      <c r="B115" s="354" t="n"/>
      <c r="C115" s="359" t="n"/>
      <c r="D115" s="360" t="n"/>
      <c r="E115" s="301" t="n"/>
      <c r="F115" s="301" t="n"/>
      <c r="G115" s="301" t="n"/>
      <c r="H115" s="301" t="n"/>
      <c r="I115" s="301" t="n"/>
      <c r="J115" s="301" t="n"/>
      <c r="K115" s="301" t="n"/>
      <c r="L115" s="301" t="n"/>
    </row>
    <row r="116" ht="15" customHeight="1" s="221">
      <c r="A116" s="354" t="n"/>
      <c r="B116" s="354" t="n"/>
      <c r="C116" s="359" t="n"/>
      <c r="D116" s="360" t="n"/>
      <c r="E116" s="301" t="n"/>
      <c r="F116" s="301" t="n"/>
      <c r="G116" s="301" t="n"/>
      <c r="H116" s="301" t="n"/>
      <c r="I116" s="301" t="n"/>
      <c r="J116" s="301" t="n"/>
      <c r="K116" s="301" t="n"/>
      <c r="L116" s="301" t="n"/>
    </row>
    <row r="117" ht="15" customHeight="1" s="221">
      <c r="A117" s="354" t="n"/>
      <c r="B117" s="354" t="n"/>
      <c r="C117" s="359" t="n"/>
      <c r="D117" s="360" t="n"/>
      <c r="E117" s="301" t="n"/>
      <c r="F117" s="301" t="n"/>
      <c r="G117" s="301" t="n"/>
      <c r="H117" s="301" t="n"/>
      <c r="I117" s="301" t="n"/>
      <c r="J117" s="301" t="n"/>
      <c r="K117" s="301" t="n"/>
      <c r="L117" s="301" t="n"/>
    </row>
    <row r="118" ht="15" customHeight="1" s="221">
      <c r="A118" s="354" t="n"/>
      <c r="B118" s="354" t="n"/>
      <c r="C118" s="359" t="n"/>
      <c r="D118" s="360" t="n"/>
      <c r="E118" s="301" t="n"/>
      <c r="F118" s="301" t="n"/>
      <c r="G118" s="301" t="n"/>
      <c r="H118" s="301" t="n"/>
      <c r="I118" s="301" t="n"/>
      <c r="J118" s="301" t="n"/>
      <c r="K118" s="301" t="n"/>
      <c r="L118" s="301" t="n"/>
    </row>
    <row r="119" ht="15" customHeight="1" s="221">
      <c r="A119" s="354" t="n"/>
      <c r="B119" s="354" t="n"/>
      <c r="C119" s="359" t="n"/>
      <c r="D119" s="360" t="n"/>
      <c r="E119" s="301" t="n"/>
      <c r="F119" s="301" t="n"/>
      <c r="G119" s="301" t="n"/>
      <c r="H119" s="301" t="n"/>
      <c r="I119" s="301" t="n"/>
      <c r="J119" s="301" t="n"/>
      <c r="K119" s="301" t="n"/>
      <c r="L119" s="301" t="n"/>
    </row>
    <row r="120" ht="15" customHeight="1" s="221">
      <c r="A120" s="354" t="n"/>
      <c r="B120" s="354" t="n"/>
      <c r="C120" s="359" t="n"/>
      <c r="D120" s="360" t="n"/>
      <c r="E120" s="301" t="n"/>
      <c r="F120" s="301" t="n"/>
      <c r="G120" s="301" t="n"/>
      <c r="H120" s="301" t="n"/>
      <c r="I120" s="301" t="n"/>
      <c r="J120" s="301" t="n"/>
      <c r="K120" s="301" t="n"/>
      <c r="L120" s="301" t="n"/>
    </row>
    <row r="121" ht="15" customHeight="1" s="221">
      <c r="A121" s="301" t="n"/>
      <c r="B121" s="301" t="n"/>
      <c r="C121" s="328" t="n"/>
      <c r="D121" s="301" t="n"/>
      <c r="E121" s="301" t="n"/>
      <c r="F121" s="301" t="n"/>
      <c r="G121" s="301" t="n"/>
      <c r="H121" s="301" t="n"/>
      <c r="I121" s="301" t="n"/>
      <c r="J121" s="301" t="n"/>
      <c r="K121" s="301" t="n"/>
      <c r="L121" s="301" t="n"/>
    </row>
    <row r="122" ht="15.75" customHeight="1" s="221">
      <c r="A122" s="301" t="n"/>
      <c r="B122" s="301" t="n"/>
      <c r="C122" s="328" t="n"/>
      <c r="D122" s="301" t="n"/>
      <c r="E122" s="301" t="n"/>
      <c r="F122" s="301" t="n"/>
      <c r="G122" s="301" t="n"/>
      <c r="H122" s="301" t="n"/>
      <c r="I122" s="301" t="n"/>
      <c r="J122" s="301" t="n"/>
      <c r="K122" s="301" t="n"/>
      <c r="L122" s="301" t="n"/>
    </row>
    <row r="123" ht="15.75" customHeight="1" s="221">
      <c r="A123" s="301" t="n"/>
      <c r="B123" s="301" t="n"/>
      <c r="C123" s="328" t="n"/>
      <c r="D123" s="301" t="n"/>
      <c r="E123" s="301" t="n"/>
      <c r="F123" s="301" t="n"/>
      <c r="G123" s="301" t="n"/>
      <c r="H123" s="301" t="n"/>
      <c r="I123" s="301" t="n"/>
      <c r="J123" s="301" t="n"/>
      <c r="K123" s="301" t="n"/>
      <c r="L123" s="301" t="n"/>
    </row>
    <row r="124" ht="15" customHeight="1" s="221">
      <c r="A124" s="301" t="n"/>
      <c r="B124" s="301" t="n"/>
      <c r="C124" s="301" t="n"/>
      <c r="D124" s="301" t="n"/>
      <c r="E124" s="301" t="n"/>
      <c r="F124" s="301" t="n"/>
      <c r="G124" s="301" t="n"/>
      <c r="H124" s="301" t="n"/>
      <c r="I124" s="301" t="n"/>
      <c r="J124" s="301" t="n"/>
      <c r="K124" s="301" t="n"/>
      <c r="L124" s="301" t="n"/>
    </row>
    <row r="125" ht="15" customHeight="1" s="221">
      <c r="A125" s="301" t="n"/>
      <c r="B125" s="301" t="n"/>
      <c r="C125" s="301" t="n"/>
      <c r="D125" s="301" t="n"/>
      <c r="E125" s="301" t="n"/>
      <c r="F125" s="301" t="n"/>
      <c r="G125" s="301" t="n"/>
      <c r="H125" s="301" t="n"/>
      <c r="I125" s="301" t="n"/>
      <c r="J125" s="301" t="n"/>
      <c r="K125" s="301" t="n"/>
      <c r="L125" s="301" t="n"/>
    </row>
    <row r="126" ht="15" customHeight="1" s="221">
      <c r="A126" s="301" t="n"/>
      <c r="B126" s="301" t="n"/>
      <c r="C126" s="301" t="n"/>
      <c r="D126" s="301" t="n"/>
      <c r="E126" s="301" t="n"/>
      <c r="F126" s="301" t="n"/>
      <c r="G126" s="301" t="n"/>
      <c r="H126" s="301" t="n"/>
      <c r="I126" s="301" t="n"/>
      <c r="J126" s="301" t="n"/>
      <c r="K126" s="301" t="n"/>
      <c r="L126" s="301" t="n"/>
    </row>
    <row r="127" ht="15" customHeight="1" s="221">
      <c r="A127" s="301" t="n"/>
      <c r="B127" s="301" t="n"/>
      <c r="C127" s="301" t="n"/>
      <c r="D127" s="301" t="n"/>
      <c r="E127" s="301" t="n"/>
      <c r="F127" s="301" t="n"/>
      <c r="G127" s="301" t="n"/>
      <c r="H127" s="301" t="n"/>
      <c r="I127" s="301" t="n"/>
      <c r="J127" s="301" t="n"/>
      <c r="K127" s="301" t="n"/>
      <c r="L127" s="301" t="n"/>
    </row>
    <row r="128" ht="15" customHeight="1" s="221">
      <c r="A128" s="301" t="n"/>
      <c r="B128" s="301" t="n"/>
      <c r="C128" s="301" t="n"/>
      <c r="D128" s="301" t="n"/>
      <c r="E128" s="301" t="n"/>
      <c r="F128" s="301" t="n"/>
      <c r="G128" s="301" t="n"/>
      <c r="H128" s="301" t="n"/>
      <c r="I128" s="301" t="n"/>
      <c r="J128" s="301" t="n"/>
      <c r="K128" s="301" t="n"/>
      <c r="L128" s="301" t="n"/>
    </row>
    <row r="129" ht="15" customHeight="1" s="221">
      <c r="A129" s="301" t="n"/>
      <c r="B129" s="301" t="n"/>
      <c r="C129" s="301" t="n"/>
      <c r="D129" s="301" t="n"/>
      <c r="E129" s="301" t="n"/>
      <c r="F129" s="301" t="n"/>
      <c r="G129" s="301" t="n"/>
      <c r="H129" s="301" t="n"/>
      <c r="I129" s="301" t="n"/>
      <c r="J129" s="301" t="n"/>
      <c r="K129" s="301" t="n"/>
      <c r="L129" s="301" t="n"/>
    </row>
    <row r="130" ht="15" customHeight="1" s="221">
      <c r="A130" s="301" t="n"/>
      <c r="B130" s="301" t="n"/>
      <c r="C130" s="301" t="n"/>
      <c r="D130" s="301" t="n"/>
      <c r="E130" s="301" t="n"/>
      <c r="F130" s="301" t="n"/>
      <c r="G130" s="301" t="n"/>
      <c r="H130" s="301" t="n"/>
      <c r="I130" s="301" t="n"/>
      <c r="J130" s="301" t="n"/>
      <c r="K130" s="301" t="n"/>
      <c r="L130" s="301" t="n"/>
    </row>
    <row r="131" ht="15" customHeight="1" s="221">
      <c r="A131" s="301" t="n"/>
      <c r="B131" s="301" t="n"/>
      <c r="C131" s="301" t="n"/>
      <c r="D131" s="301" t="n"/>
      <c r="E131" s="301" t="n"/>
      <c r="F131" s="301" t="n"/>
      <c r="G131" s="301" t="n"/>
      <c r="H131" s="301" t="n"/>
      <c r="I131" s="301" t="n"/>
      <c r="J131" s="301" t="n"/>
      <c r="K131" s="301" t="n"/>
      <c r="L131" s="301" t="n"/>
    </row>
    <row r="132" ht="15" customHeight="1" s="221">
      <c r="A132" s="301" t="n"/>
      <c r="B132" s="301" t="n"/>
      <c r="C132" s="301" t="n"/>
      <c r="D132" s="301" t="n"/>
      <c r="E132" s="301" t="n"/>
      <c r="F132" s="301" t="n"/>
      <c r="G132" s="301" t="n"/>
      <c r="H132" s="301" t="n"/>
      <c r="I132" s="301" t="n"/>
      <c r="J132" s="301" t="n"/>
      <c r="K132" s="301" t="n"/>
      <c r="L132" s="301" t="n"/>
    </row>
    <row r="133" ht="15" customHeight="1" s="221">
      <c r="A133" s="301" t="n"/>
      <c r="B133" s="301" t="n"/>
      <c r="C133" s="301" t="n"/>
      <c r="D133" s="301" t="n"/>
      <c r="E133" s="301" t="n"/>
      <c r="F133" s="301" t="n"/>
      <c r="G133" s="301" t="n"/>
      <c r="H133" s="301" t="n"/>
      <c r="I133" s="301" t="n"/>
      <c r="J133" s="301" t="n"/>
      <c r="K133" s="301" t="n"/>
      <c r="L133" s="301" t="n"/>
    </row>
    <row r="134" ht="15" customHeight="1" s="221">
      <c r="A134" s="301" t="n"/>
      <c r="B134" s="301" t="n"/>
      <c r="C134" s="301" t="n"/>
      <c r="D134" s="301" t="n"/>
      <c r="E134" s="301" t="n"/>
      <c r="F134" s="301" t="n"/>
      <c r="G134" s="301" t="n"/>
      <c r="H134" s="301" t="n"/>
      <c r="I134" s="301" t="n"/>
      <c r="J134" s="301" t="n"/>
      <c r="K134" s="301" t="n"/>
      <c r="L134" s="301" t="n"/>
    </row>
    <row r="135" ht="15" customHeight="1" s="221">
      <c r="A135" s="301" t="n"/>
      <c r="B135" s="301" t="n"/>
      <c r="C135" s="301" t="n"/>
      <c r="D135" s="301" t="n"/>
      <c r="E135" s="301" t="n"/>
      <c r="F135" s="301" t="n"/>
      <c r="G135" s="301" t="n"/>
      <c r="H135" s="301" t="n"/>
      <c r="I135" s="301" t="n"/>
      <c r="J135" s="301" t="n"/>
      <c r="K135" s="301" t="n"/>
      <c r="L135" s="301" t="n"/>
    </row>
    <row r="136" ht="15" customHeight="1" s="221">
      <c r="A136" s="301" t="n"/>
      <c r="B136" s="301" t="n"/>
      <c r="C136" s="301" t="n"/>
      <c r="D136" s="301" t="n"/>
      <c r="E136" s="301" t="n"/>
      <c r="F136" s="301" t="n"/>
      <c r="G136" s="301" t="n"/>
      <c r="H136" s="301" t="n"/>
      <c r="I136" s="301" t="n"/>
      <c r="J136" s="301" t="n"/>
      <c r="K136" s="301" t="n"/>
      <c r="L136" s="301" t="n"/>
    </row>
    <row r="137" ht="15" customHeight="1" s="221">
      <c r="A137" s="301" t="n"/>
      <c r="B137" s="301" t="n"/>
      <c r="C137" s="301" t="n"/>
      <c r="D137" s="301" t="n"/>
      <c r="E137" s="301" t="n"/>
      <c r="F137" s="301" t="n"/>
      <c r="G137" s="301" t="n"/>
      <c r="H137" s="301" t="n"/>
      <c r="I137" s="301" t="n"/>
      <c r="J137" s="301" t="n"/>
      <c r="K137" s="301" t="n"/>
      <c r="L137" s="301" t="n"/>
    </row>
    <row r="138" ht="15" customHeight="1" s="221">
      <c r="A138" s="301" t="n"/>
      <c r="B138" s="301" t="n"/>
      <c r="C138" s="301" t="n"/>
      <c r="D138" s="301" t="n"/>
      <c r="E138" s="301" t="n"/>
      <c r="F138" s="301" t="n"/>
      <c r="G138" s="301" t="n"/>
      <c r="H138" s="301" t="n"/>
      <c r="I138" s="301" t="n"/>
      <c r="J138" s="301" t="n"/>
      <c r="K138" s="301" t="n"/>
      <c r="L138" s="301" t="n"/>
    </row>
    <row r="139" ht="15" customHeight="1" s="221">
      <c r="A139" s="301" t="n"/>
      <c r="B139" s="301" t="n"/>
      <c r="C139" s="301" t="n"/>
      <c r="D139" s="301" t="n"/>
      <c r="E139" s="301" t="n"/>
      <c r="F139" s="301" t="n"/>
      <c r="G139" s="301" t="n"/>
      <c r="H139" s="301" t="n"/>
      <c r="I139" s="301" t="n"/>
      <c r="J139" s="301" t="n"/>
      <c r="K139" s="301" t="n"/>
      <c r="L139" s="301" t="n"/>
    </row>
    <row r="140" ht="15" customHeight="1" s="221">
      <c r="A140" s="301" t="n"/>
      <c r="B140" s="301" t="n"/>
      <c r="C140" s="301" t="n"/>
      <c r="D140" s="301" t="n"/>
      <c r="E140" s="301" t="n"/>
      <c r="F140" s="301" t="n"/>
      <c r="G140" s="301" t="n"/>
      <c r="H140" s="301" t="n"/>
      <c r="I140" s="301" t="n"/>
      <c r="J140" s="301" t="n"/>
      <c r="K140" s="301" t="n"/>
      <c r="L140" s="301" t="n"/>
    </row>
    <row r="141" ht="15" customHeight="1" s="221">
      <c r="A141" s="301" t="n"/>
      <c r="B141" s="301" t="n"/>
      <c r="C141" s="301" t="n"/>
      <c r="D141" s="301" t="n"/>
      <c r="E141" s="301" t="n"/>
      <c r="F141" s="301" t="n"/>
      <c r="G141" s="301" t="n"/>
      <c r="H141" s="301" t="n"/>
      <c r="I141" s="301" t="n"/>
      <c r="J141" s="301" t="n"/>
      <c r="K141" s="301" t="n"/>
      <c r="L141" s="301" t="n"/>
    </row>
    <row r="142" ht="15" customHeight="1" s="221">
      <c r="A142" s="301" t="n"/>
      <c r="B142" s="301" t="n"/>
      <c r="C142" s="301" t="n"/>
      <c r="D142" s="301" t="n"/>
      <c r="E142" s="301" t="n"/>
      <c r="F142" s="301" t="n"/>
      <c r="G142" s="301" t="n"/>
      <c r="H142" s="301" t="n"/>
      <c r="I142" s="301" t="n"/>
      <c r="J142" s="301" t="n"/>
      <c r="K142" s="301" t="n"/>
      <c r="L142" s="301" t="n"/>
    </row>
    <row r="143" ht="15" customHeight="1" s="221">
      <c r="A143" s="301" t="n"/>
      <c r="B143" s="301" t="n"/>
      <c r="C143" s="301" t="n"/>
      <c r="D143" s="301" t="n"/>
      <c r="E143" s="301" t="n"/>
      <c r="F143" s="301" t="n"/>
      <c r="G143" s="301" t="n"/>
      <c r="H143" s="301" t="n"/>
      <c r="I143" s="301" t="n"/>
      <c r="J143" s="301" t="n"/>
      <c r="K143" s="301" t="n"/>
      <c r="L143" s="301" t="n"/>
    </row>
    <row r="144" ht="15" customHeight="1" s="221">
      <c r="A144" s="301" t="n"/>
      <c r="B144" s="301" t="n"/>
      <c r="C144" s="301" t="n"/>
      <c r="D144" s="301" t="n"/>
      <c r="E144" s="301" t="n"/>
      <c r="F144" s="301" t="n"/>
      <c r="G144" s="301" t="n"/>
      <c r="H144" s="301" t="n"/>
      <c r="I144" s="301" t="n"/>
      <c r="J144" s="301" t="n"/>
      <c r="K144" s="301" t="n"/>
      <c r="L144" s="301" t="n"/>
    </row>
    <row r="145" ht="15" customHeight="1" s="221">
      <c r="A145" s="301" t="n"/>
      <c r="B145" s="301" t="n"/>
      <c r="C145" s="301" t="n"/>
      <c r="D145" s="301" t="n"/>
      <c r="E145" s="301" t="n"/>
      <c r="F145" s="301" t="n"/>
      <c r="G145" s="301" t="n"/>
      <c r="H145" s="301" t="n"/>
      <c r="I145" s="301" t="n"/>
      <c r="J145" s="301" t="n"/>
      <c r="K145" s="301" t="n"/>
      <c r="L145" s="301" t="n"/>
    </row>
    <row r="146" ht="15" customHeight="1" s="221">
      <c r="A146" s="301" t="n"/>
      <c r="B146" s="301" t="n"/>
      <c r="C146" s="301" t="n"/>
      <c r="D146" s="301" t="n"/>
      <c r="E146" s="301" t="n"/>
      <c r="F146" s="301" t="n"/>
      <c r="G146" s="301" t="n"/>
      <c r="H146" s="301" t="n"/>
      <c r="I146" s="301" t="n"/>
      <c r="J146" s="301" t="n"/>
      <c r="K146" s="301" t="n"/>
      <c r="L146" s="301" t="n"/>
    </row>
    <row r="147" ht="15" customHeight="1" s="221">
      <c r="A147" s="301" t="n"/>
      <c r="B147" s="301" t="n"/>
      <c r="C147" s="301" t="n"/>
      <c r="D147" s="301" t="n"/>
      <c r="E147" s="301" t="n"/>
      <c r="F147" s="301" t="n"/>
      <c r="G147" s="301" t="n"/>
      <c r="H147" s="301" t="n"/>
      <c r="I147" s="301" t="n"/>
      <c r="J147" s="301" t="n"/>
      <c r="K147" s="301" t="n"/>
      <c r="L147" s="301" t="n"/>
    </row>
    <row r="148" ht="15" customHeight="1" s="221">
      <c r="A148" s="301" t="n"/>
      <c r="B148" s="301" t="n"/>
      <c r="C148" s="301" t="n"/>
      <c r="D148" s="301" t="n"/>
      <c r="E148" s="301" t="n"/>
      <c r="F148" s="301" t="n"/>
      <c r="G148" s="301" t="n"/>
      <c r="H148" s="301" t="n"/>
      <c r="I148" s="301" t="n"/>
      <c r="J148" s="301" t="n"/>
      <c r="K148" s="301" t="n"/>
      <c r="L148" s="301" t="n"/>
    </row>
    <row r="149" ht="15" customHeight="1" s="221">
      <c r="A149" s="301" t="n"/>
      <c r="B149" s="301" t="n"/>
      <c r="C149" s="301" t="n"/>
      <c r="D149" s="301" t="n"/>
      <c r="E149" s="301" t="n"/>
      <c r="F149" s="301" t="n"/>
      <c r="G149" s="301" t="n"/>
      <c r="H149" s="301" t="n"/>
      <c r="I149" s="301" t="n"/>
      <c r="J149" s="301" t="n"/>
      <c r="K149" s="301" t="n"/>
      <c r="L149" s="301" t="n"/>
    </row>
    <row r="150" ht="15" customHeight="1" s="221">
      <c r="A150" s="301" t="n"/>
      <c r="B150" s="301" t="n"/>
      <c r="C150" s="301" t="n"/>
      <c r="D150" s="301" t="n"/>
      <c r="E150" s="301" t="n"/>
      <c r="F150" s="301" t="n"/>
      <c r="G150" s="301" t="n"/>
      <c r="H150" s="301" t="n"/>
      <c r="I150" s="301" t="n"/>
      <c r="J150" s="301" t="n"/>
      <c r="K150" s="301" t="n"/>
      <c r="L150" s="301" t="n"/>
    </row>
  </sheetData>
  <mergeCells count="35">
    <mergeCell ref="G10:I10"/>
    <mergeCell ref="A8:D8"/>
    <mergeCell ref="A73:B73"/>
    <mergeCell ref="A62:D62"/>
    <mergeCell ref="G47:J47"/>
    <mergeCell ref="G54:J54"/>
    <mergeCell ref="A28:D28"/>
    <mergeCell ref="A26:C26"/>
    <mergeCell ref="G40:J40"/>
    <mergeCell ref="J77:K77"/>
    <mergeCell ref="A30:D30"/>
    <mergeCell ref="A51:D51"/>
    <mergeCell ref="A20:C20"/>
    <mergeCell ref="A3:B3"/>
    <mergeCell ref="G3:H3"/>
    <mergeCell ref="G67:J67"/>
    <mergeCell ref="A1:J1"/>
    <mergeCell ref="G8:J8"/>
    <mergeCell ref="G9:I9"/>
    <mergeCell ref="G65:H65"/>
    <mergeCell ref="D4:E4"/>
    <mergeCell ref="A41:D41"/>
    <mergeCell ref="G12:I12"/>
    <mergeCell ref="A17:B17"/>
    <mergeCell ref="D3:E3"/>
    <mergeCell ref="G64:H64"/>
    <mergeCell ref="G28:J28"/>
    <mergeCell ref="A4:B4"/>
    <mergeCell ref="G4:H4"/>
    <mergeCell ref="A72:B72"/>
    <mergeCell ref="A6:C6"/>
    <mergeCell ref="G34:J34"/>
    <mergeCell ref="G30:J30"/>
    <mergeCell ref="A9:B9"/>
    <mergeCell ref="G45:J45"/>
  </mergeCells>
  <conditionalFormatting sqref="B33:B200">
    <cfRule type="expression" rank="0" priority="2" equalAverage="0" aboveAverage="0" dxfId="0" text="" percent="0" bottom="0">
      <formula>$B33="Pagado"</formula>
    </cfRule>
    <cfRule type="expression" rank="0" priority="3" equalAverage="0" aboveAverage="0" dxfId="1" text="" percent="0" bottom="0">
      <formula>$B33="Pendiente"</formula>
    </cfRule>
    <cfRule type="expression" rank="0" priority="4" equalAverage="0" aboveAverage="0" dxfId="2" text="" percent="0" bottom="0">
      <formula>$B33="Cancelado"</formula>
    </cfRule>
  </conditionalFormatting>
  <dataValidations count="2">
    <dataValidation sqref="B33:B200" showDropDown="0" showInputMessage="0" showErrorMessage="0" allowBlank="1" type="list" errorStyle="stop" operator="between">
      <formula1>"Ninguno,Pendiente,Pagado,Cancelado"</formula1>
      <formula2>0</formula2>
    </dataValidation>
    <dataValidation sqref="H31:H62" showDropDown="0" showInputMessage="0" showErrorMessage="0" allowBlank="1" errorTitle="Estado inválido" error="Selecciona un estado válido" type="list">
      <formula1>"Ninguno,Pendiente,Pagado,Cancelado"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9B59B6"/>
    <outlinePr summaryBelow="1" summaryRight="1"/>
    <pageSetUpPr fitToPage="0"/>
  </sheetPr>
  <dimension ref="A1:J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2" customWidth="1" style="220" min="1" max="2"/>
    <col width="18" customWidth="1" style="220" min="3" max="3"/>
    <col width="28" customWidth="1" style="220" min="4" max="4"/>
    <col width="14" customWidth="1" style="220" min="5" max="6"/>
    <col width="18" customWidth="1" style="220" min="7" max="8"/>
  </cols>
  <sheetData>
    <row r="1" ht="18" customHeight="1" s="221">
      <c r="A1" s="310" t="inlineStr">
        <is>
          <t>📋 REGISTRO DE MOVIMIENTOS - MAYO 2026</t>
        </is>
      </c>
      <c r="I1" s="301" t="n"/>
      <c r="J1" s="301" t="n"/>
    </row>
    <row r="2" ht="15" customHeight="1" s="221">
      <c r="A2" s="301" t="n"/>
      <c r="B2" s="301" t="n"/>
      <c r="C2" s="301" t="n"/>
      <c r="D2" s="301" t="n"/>
      <c r="E2" s="301" t="n"/>
      <c r="F2" s="301" t="n"/>
      <c r="G2" s="301" t="n"/>
      <c r="H2" s="301" t="n"/>
      <c r="I2" s="301" t="n"/>
      <c r="J2" s="301" t="n"/>
    </row>
    <row r="3" ht="15" customHeight="1" s="221">
      <c r="A3" s="311" t="inlineStr">
        <is>
          <t>Fecha</t>
        </is>
      </c>
      <c r="B3" s="312" t="inlineStr">
        <is>
          <t>Tipo</t>
        </is>
      </c>
      <c r="C3" s="312" t="inlineStr">
        <is>
          <t>Categoría</t>
        </is>
      </c>
      <c r="D3" s="311" t="inlineStr">
        <is>
          <t>Descripción</t>
        </is>
      </c>
      <c r="E3" s="311" t="inlineStr">
        <is>
          <t>Ingreso</t>
        </is>
      </c>
      <c r="F3" s="311" t="inlineStr">
        <is>
          <t>Egreso</t>
        </is>
      </c>
      <c r="G3" s="311" t="inlineStr">
        <is>
          <t>Cuenta</t>
        </is>
      </c>
      <c r="H3" s="311" t="inlineStr">
        <is>
          <t>Notas</t>
        </is>
      </c>
      <c r="I3" s="301" t="n"/>
      <c r="J3" s="301" t="n"/>
    </row>
    <row r="4" ht="15" customHeight="1" s="221">
      <c r="A4" s="313" t="n"/>
      <c r="B4" s="314" t="n"/>
      <c r="C4" s="315" t="n"/>
      <c r="D4" s="316" t="n"/>
      <c r="E4" s="317" t="n"/>
      <c r="F4" s="317" t="n"/>
      <c r="G4" s="318" t="n"/>
      <c r="H4" s="316" t="n"/>
      <c r="I4" s="301" t="n"/>
      <c r="J4" s="301" t="n"/>
    </row>
    <row r="5" ht="15" customHeight="1" s="221">
      <c r="A5" s="319" t="n"/>
      <c r="B5" s="320" t="n"/>
      <c r="C5" s="321" t="n"/>
      <c r="D5" s="322" t="n"/>
      <c r="E5" s="323" t="n"/>
      <c r="F5" s="323" t="n"/>
      <c r="G5" s="324" t="n"/>
      <c r="H5" s="322" t="n"/>
      <c r="I5" s="301" t="n"/>
      <c r="J5" s="301" t="n"/>
    </row>
    <row r="6" ht="15" customHeight="1" s="221">
      <c r="A6" s="313" t="n"/>
      <c r="B6" s="314" t="n"/>
      <c r="C6" s="315" t="n"/>
      <c r="D6" s="316" t="n"/>
      <c r="E6" s="317" t="n"/>
      <c r="F6" s="317" t="n"/>
      <c r="G6" s="318" t="n"/>
      <c r="H6" s="316" t="n"/>
      <c r="I6" s="301" t="n"/>
      <c r="J6" s="301" t="n"/>
    </row>
    <row r="7" ht="15" customHeight="1" s="221">
      <c r="A7" s="319" t="n"/>
      <c r="B7" s="320" t="n"/>
      <c r="C7" s="321" t="n"/>
      <c r="D7" s="322" t="n"/>
      <c r="E7" s="323" t="n"/>
      <c r="F7" s="323" t="n"/>
      <c r="G7" s="324" t="n"/>
      <c r="H7" s="322" t="n"/>
      <c r="I7" s="301" t="n"/>
      <c r="J7" s="301" t="n"/>
    </row>
    <row r="8" ht="15" customHeight="1" s="221">
      <c r="A8" s="313" t="n"/>
      <c r="B8" s="314" t="n"/>
      <c r="C8" s="315" t="n"/>
      <c r="D8" s="316" t="n"/>
      <c r="E8" s="317" t="n"/>
      <c r="F8" s="317" t="n"/>
      <c r="G8" s="318" t="n"/>
      <c r="H8" s="316" t="n"/>
      <c r="I8" s="301" t="n"/>
      <c r="J8" s="301" t="n"/>
    </row>
    <row r="9" ht="15" customHeight="1" s="221">
      <c r="A9" s="319" t="n"/>
      <c r="B9" s="320" t="n"/>
      <c r="C9" s="321" t="n"/>
      <c r="D9" s="322" t="n"/>
      <c r="E9" s="323" t="n"/>
      <c r="F9" s="323" t="n"/>
      <c r="G9" s="324" t="n"/>
      <c r="H9" s="322" t="n"/>
      <c r="I9" s="301" t="n"/>
      <c r="J9" s="301" t="n"/>
    </row>
    <row r="10" ht="15" customHeight="1" s="221">
      <c r="A10" s="313" t="n"/>
      <c r="B10" s="314" t="n"/>
      <c r="C10" s="315" t="n"/>
      <c r="D10" s="316" t="n"/>
      <c r="E10" s="317" t="n"/>
      <c r="F10" s="317" t="n"/>
      <c r="G10" s="318" t="n"/>
      <c r="H10" s="316" t="n"/>
      <c r="I10" s="301" t="n"/>
      <c r="J10" s="301" t="n"/>
    </row>
    <row r="11" ht="15" customHeight="1" s="221">
      <c r="A11" s="319" t="n"/>
      <c r="B11" s="320" t="n"/>
      <c r="C11" s="321" t="n"/>
      <c r="D11" s="322" t="n"/>
      <c r="E11" s="323" t="n"/>
      <c r="F11" s="323" t="n"/>
      <c r="G11" s="324" t="n"/>
      <c r="H11" s="322" t="n"/>
      <c r="I11" s="301" t="n"/>
      <c r="J11" s="301" t="n"/>
    </row>
    <row r="12" ht="15" customHeight="1" s="221">
      <c r="A12" s="313" t="n"/>
      <c r="B12" s="314" t="n"/>
      <c r="C12" s="315" t="n"/>
      <c r="D12" s="316" t="n"/>
      <c r="E12" s="317" t="n"/>
      <c r="F12" s="317" t="n"/>
      <c r="G12" s="318" t="n"/>
      <c r="H12" s="316" t="n"/>
      <c r="I12" s="301" t="n"/>
      <c r="J12" s="301" t="n"/>
    </row>
    <row r="13" ht="15" customHeight="1" s="221">
      <c r="A13" s="319" t="n"/>
      <c r="B13" s="320" t="n"/>
      <c r="C13" s="321" t="n"/>
      <c r="D13" s="322" t="n"/>
      <c r="E13" s="323" t="n"/>
      <c r="F13" s="323" t="n"/>
      <c r="G13" s="324" t="n"/>
      <c r="H13" s="322" t="n"/>
      <c r="I13" s="301" t="n"/>
      <c r="J13" s="301" t="n"/>
    </row>
    <row r="14" ht="15" customHeight="1" s="221">
      <c r="A14" s="313" t="n"/>
      <c r="B14" s="314" t="n"/>
      <c r="C14" s="315" t="n"/>
      <c r="D14" s="316" t="n"/>
      <c r="E14" s="317" t="n"/>
      <c r="F14" s="317" t="n"/>
      <c r="G14" s="318" t="n"/>
      <c r="H14" s="316" t="n"/>
      <c r="I14" s="301" t="n"/>
      <c r="J14" s="301" t="n"/>
    </row>
    <row r="15" ht="15" customHeight="1" s="221">
      <c r="A15" s="319" t="n"/>
      <c r="B15" s="320" t="n"/>
      <c r="C15" s="321" t="n"/>
      <c r="D15" s="322" t="n"/>
      <c r="E15" s="323" t="n"/>
      <c r="F15" s="323" t="n"/>
      <c r="G15" s="324" t="n"/>
      <c r="H15" s="322" t="n"/>
      <c r="I15" s="301" t="n"/>
      <c r="J15" s="301" t="n"/>
    </row>
    <row r="16" ht="15" customHeight="1" s="221">
      <c r="A16" s="313" t="n"/>
      <c r="B16" s="314" t="n"/>
      <c r="C16" s="315" t="n"/>
      <c r="D16" s="316" t="n"/>
      <c r="E16" s="317" t="n"/>
      <c r="F16" s="317" t="n"/>
      <c r="G16" s="318" t="n"/>
      <c r="H16" s="316" t="n"/>
      <c r="I16" s="301" t="n"/>
      <c r="J16" s="301" t="n"/>
    </row>
    <row r="17" ht="15" customHeight="1" s="221">
      <c r="A17" s="319" t="n"/>
      <c r="B17" s="320" t="n"/>
      <c r="C17" s="321" t="n"/>
      <c r="D17" s="322" t="n"/>
      <c r="E17" s="323" t="n"/>
      <c r="F17" s="323" t="n"/>
      <c r="G17" s="324" t="n"/>
      <c r="H17" s="322" t="n"/>
      <c r="I17" s="301" t="n"/>
      <c r="J17" s="301" t="n"/>
    </row>
    <row r="18" ht="15" customHeight="1" s="221">
      <c r="A18" s="313" t="n"/>
      <c r="B18" s="314" t="n"/>
      <c r="C18" s="315" t="n"/>
      <c r="D18" s="316" t="n"/>
      <c r="E18" s="317" t="n"/>
      <c r="F18" s="317" t="n"/>
      <c r="G18" s="318" t="n"/>
      <c r="H18" s="316" t="n"/>
      <c r="I18" s="301" t="n"/>
      <c r="J18" s="301" t="n"/>
    </row>
    <row r="19" ht="15" customHeight="1" s="221">
      <c r="A19" s="319" t="n"/>
      <c r="B19" s="320" t="n"/>
      <c r="C19" s="321" t="n"/>
      <c r="D19" s="322" t="n"/>
      <c r="E19" s="323" t="n"/>
      <c r="F19" s="323" t="n"/>
      <c r="G19" s="324" t="n"/>
      <c r="H19" s="322" t="n"/>
      <c r="I19" s="301" t="n"/>
      <c r="J19" s="301" t="n"/>
    </row>
    <row r="20" ht="15" customHeight="1" s="221">
      <c r="A20" s="313" t="n"/>
      <c r="B20" s="314" t="n"/>
      <c r="C20" s="315" t="n"/>
      <c r="D20" s="316" t="n"/>
      <c r="E20" s="317" t="n"/>
      <c r="F20" s="317" t="n"/>
      <c r="G20" s="318" t="n"/>
      <c r="H20" s="316" t="n"/>
      <c r="I20" s="301" t="n"/>
      <c r="J20" s="301" t="n"/>
    </row>
    <row r="21" ht="15" customHeight="1" s="221">
      <c r="A21" s="319" t="n"/>
      <c r="B21" s="320" t="n"/>
      <c r="C21" s="321" t="n"/>
      <c r="D21" s="322" t="n"/>
      <c r="E21" s="323" t="n"/>
      <c r="F21" s="323" t="n"/>
      <c r="G21" s="324" t="n"/>
      <c r="H21" s="322" t="n"/>
      <c r="I21" s="301" t="n"/>
      <c r="J21" s="301" t="n"/>
    </row>
    <row r="22" ht="15" customHeight="1" s="221">
      <c r="A22" s="313" t="n"/>
      <c r="B22" s="314" t="n"/>
      <c r="C22" s="315" t="n"/>
      <c r="D22" s="316" t="n"/>
      <c r="E22" s="317" t="n"/>
      <c r="F22" s="317" t="n"/>
      <c r="G22" s="318" t="n"/>
      <c r="H22" s="316" t="n"/>
      <c r="I22" s="301" t="n"/>
      <c r="J22" s="301" t="n"/>
    </row>
    <row r="23" ht="15" customHeight="1" s="221">
      <c r="A23" s="319" t="n"/>
      <c r="B23" s="320" t="n"/>
      <c r="C23" s="321" t="n"/>
      <c r="D23" s="322" t="n"/>
      <c r="E23" s="323" t="n"/>
      <c r="F23" s="323" t="n"/>
      <c r="G23" s="324" t="n"/>
      <c r="H23" s="322" t="n"/>
      <c r="I23" s="301" t="n"/>
      <c r="J23" s="301" t="n"/>
    </row>
    <row r="24" ht="15" customHeight="1" s="221">
      <c r="A24" s="313" t="n"/>
      <c r="B24" s="318" t="n"/>
      <c r="C24" s="315" t="n"/>
      <c r="D24" s="316" t="n"/>
      <c r="E24" s="317" t="n"/>
      <c r="F24" s="317" t="n"/>
      <c r="G24" s="318" t="n"/>
      <c r="H24" s="316" t="n"/>
      <c r="I24" s="301" t="n"/>
      <c r="J24" s="301" t="n"/>
    </row>
    <row r="25" ht="15" customHeight="1" s="221">
      <c r="A25" s="319" t="n"/>
      <c r="B25" s="324" t="n"/>
      <c r="C25" s="321" t="n"/>
      <c r="D25" s="322" t="n"/>
      <c r="E25" s="323" t="n"/>
      <c r="F25" s="323" t="n"/>
      <c r="G25" s="324" t="n"/>
      <c r="H25" s="322" t="n"/>
      <c r="I25" s="301" t="n"/>
      <c r="J25" s="301" t="n"/>
    </row>
    <row r="26" ht="15" customHeight="1" s="221">
      <c r="A26" s="313" t="n"/>
      <c r="B26" s="318" t="n"/>
      <c r="C26" s="315" t="n"/>
      <c r="D26" s="316" t="n"/>
      <c r="E26" s="317" t="n"/>
      <c r="F26" s="317" t="n"/>
      <c r="G26" s="318" t="n"/>
      <c r="H26" s="316" t="n"/>
      <c r="I26" s="301" t="n"/>
      <c r="J26" s="301" t="n"/>
    </row>
    <row r="27" ht="15" customHeight="1" s="221">
      <c r="A27" s="319" t="n"/>
      <c r="B27" s="324" t="n"/>
      <c r="C27" s="321" t="n"/>
      <c r="D27" s="322" t="n"/>
      <c r="E27" s="323" t="n"/>
      <c r="F27" s="323" t="n"/>
      <c r="G27" s="324" t="n"/>
      <c r="H27" s="322" t="n"/>
      <c r="I27" s="301" t="n"/>
      <c r="J27" s="301" t="n"/>
    </row>
    <row r="28" ht="15" customHeight="1" s="221">
      <c r="A28" s="313" t="n"/>
      <c r="B28" s="318" t="n"/>
      <c r="C28" s="315" t="n"/>
      <c r="D28" s="316" t="n"/>
      <c r="E28" s="317" t="n"/>
      <c r="F28" s="317" t="n"/>
      <c r="G28" s="318" t="n"/>
      <c r="H28" s="316" t="n"/>
      <c r="I28" s="301" t="n"/>
      <c r="J28" s="301" t="n"/>
    </row>
    <row r="29" ht="15" customHeight="1" s="221">
      <c r="A29" s="319" t="n"/>
      <c r="B29" s="324" t="n"/>
      <c r="C29" s="321" t="n"/>
      <c r="D29" s="322" t="n"/>
      <c r="E29" s="323" t="n"/>
      <c r="F29" s="323" t="n"/>
      <c r="G29" s="324" t="n"/>
      <c r="H29" s="322" t="n"/>
      <c r="I29" s="301" t="n"/>
      <c r="J29" s="301" t="n"/>
    </row>
    <row r="30" ht="15" customHeight="1" s="221">
      <c r="A30" s="313" t="n"/>
      <c r="B30" s="318" t="n"/>
      <c r="C30" s="315" t="n"/>
      <c r="D30" s="316" t="n"/>
      <c r="E30" s="317" t="n"/>
      <c r="F30" s="317" t="n"/>
      <c r="G30" s="318" t="n"/>
      <c r="H30" s="316" t="n"/>
      <c r="I30" s="301" t="n"/>
      <c r="J30" s="301" t="n"/>
    </row>
    <row r="31" ht="15" customHeight="1" s="221">
      <c r="A31" s="319" t="n"/>
      <c r="B31" s="324" t="n"/>
      <c r="C31" s="321" t="n"/>
      <c r="D31" s="322" t="n"/>
      <c r="E31" s="323" t="n"/>
      <c r="F31" s="323" t="n"/>
      <c r="G31" s="324" t="n"/>
      <c r="H31" s="322" t="n"/>
      <c r="I31" s="301" t="n"/>
      <c r="J31" s="301" t="n"/>
    </row>
    <row r="32" ht="15" customHeight="1" s="221">
      <c r="A32" s="313" t="n"/>
      <c r="B32" s="318" t="n"/>
      <c r="C32" s="315" t="n"/>
      <c r="D32" s="316" t="n"/>
      <c r="E32" s="317" t="n"/>
      <c r="F32" s="317" t="n"/>
      <c r="G32" s="318" t="n"/>
      <c r="H32" s="316" t="n"/>
      <c r="I32" s="301" t="n"/>
      <c r="J32" s="301" t="n"/>
    </row>
    <row r="33" ht="15" customHeight="1" s="221">
      <c r="A33" s="319" t="n"/>
      <c r="B33" s="324" t="n"/>
      <c r="C33" s="321" t="n"/>
      <c r="D33" s="322" t="n"/>
      <c r="E33" s="323" t="n"/>
      <c r="F33" s="323" t="n"/>
      <c r="G33" s="324" t="n"/>
      <c r="H33" s="322" t="n"/>
      <c r="I33" s="301" t="n"/>
      <c r="J33" s="301" t="n"/>
    </row>
    <row r="34" ht="15" customHeight="1" s="221">
      <c r="A34" s="313" t="n"/>
      <c r="B34" s="318" t="n"/>
      <c r="C34" s="315" t="n"/>
      <c r="D34" s="316" t="n"/>
      <c r="E34" s="317" t="n"/>
      <c r="F34" s="317" t="n"/>
      <c r="G34" s="318" t="n"/>
      <c r="H34" s="316" t="n"/>
      <c r="I34" s="301" t="n"/>
      <c r="J34" s="301" t="n"/>
    </row>
    <row r="35" ht="15" customHeight="1" s="221">
      <c r="A35" s="319" t="n"/>
      <c r="B35" s="324" t="n"/>
      <c r="C35" s="322" t="n"/>
      <c r="D35" s="322" t="n"/>
      <c r="E35" s="323" t="n"/>
      <c r="F35" s="323" t="n"/>
      <c r="G35" s="324" t="n"/>
      <c r="H35" s="322" t="n"/>
      <c r="I35" s="301" t="n"/>
      <c r="J35" s="301" t="n"/>
    </row>
    <row r="36" ht="15" customHeight="1" s="221">
      <c r="A36" s="313" t="n"/>
      <c r="B36" s="318" t="n"/>
      <c r="C36" s="316" t="n"/>
      <c r="D36" s="316" t="n"/>
      <c r="E36" s="317" t="n"/>
      <c r="F36" s="317" t="n"/>
      <c r="G36" s="318" t="n"/>
      <c r="H36" s="316" t="n"/>
      <c r="I36" s="301" t="n"/>
      <c r="J36" s="301" t="n"/>
    </row>
    <row r="37" ht="15" customHeight="1" s="221">
      <c r="A37" s="319" t="n"/>
      <c r="B37" s="324" t="n"/>
      <c r="C37" s="322" t="n"/>
      <c r="D37" s="322" t="n"/>
      <c r="E37" s="323" t="n"/>
      <c r="F37" s="323" t="n"/>
      <c r="G37" s="324" t="n"/>
      <c r="H37" s="322" t="n"/>
      <c r="I37" s="301" t="n"/>
      <c r="J37" s="301" t="n"/>
    </row>
    <row r="38" ht="15" customHeight="1" s="221">
      <c r="A38" s="313" t="n"/>
      <c r="B38" s="318" t="n"/>
      <c r="C38" s="316" t="n"/>
      <c r="D38" s="316" t="n"/>
      <c r="E38" s="317" t="n"/>
      <c r="F38" s="317" t="n"/>
      <c r="G38" s="318" t="n"/>
      <c r="H38" s="316" t="n"/>
      <c r="I38" s="301" t="n"/>
      <c r="J38" s="301" t="n"/>
    </row>
    <row r="39" ht="15" customHeight="1" s="221">
      <c r="A39" s="319" t="n"/>
      <c r="B39" s="324" t="n"/>
      <c r="C39" s="322" t="n"/>
      <c r="D39" s="322" t="n"/>
      <c r="E39" s="323" t="n"/>
      <c r="F39" s="323" t="n"/>
      <c r="G39" s="324" t="n"/>
      <c r="H39" s="322" t="n"/>
      <c r="I39" s="301" t="n"/>
      <c r="J39" s="301" t="n"/>
    </row>
    <row r="40" ht="15" customHeight="1" s="221">
      <c r="A40" s="313" t="n"/>
      <c r="B40" s="318" t="n"/>
      <c r="C40" s="316" t="n"/>
      <c r="D40" s="316" t="n"/>
      <c r="E40" s="317" t="n"/>
      <c r="F40" s="317" t="n"/>
      <c r="G40" s="318" t="n"/>
      <c r="H40" s="316" t="n"/>
      <c r="I40" s="301" t="n"/>
      <c r="J40" s="301" t="n"/>
    </row>
    <row r="41" ht="15" customHeight="1" s="221">
      <c r="A41" s="319" t="n"/>
      <c r="B41" s="324" t="n"/>
      <c r="C41" s="322" t="n"/>
      <c r="D41" s="322" t="n"/>
      <c r="E41" s="323" t="n"/>
      <c r="F41" s="323" t="n"/>
      <c r="G41" s="324" t="n"/>
      <c r="H41" s="322" t="n"/>
      <c r="I41" s="301" t="n"/>
      <c r="J41" s="301" t="n"/>
    </row>
    <row r="42" ht="15" customHeight="1" s="221">
      <c r="A42" s="313" t="n"/>
      <c r="B42" s="318" t="n"/>
      <c r="C42" s="316" t="n"/>
      <c r="D42" s="316" t="n"/>
      <c r="E42" s="317" t="n"/>
      <c r="F42" s="317" t="n"/>
      <c r="G42" s="318" t="n"/>
      <c r="H42" s="316" t="n"/>
      <c r="I42" s="301" t="n"/>
      <c r="J42" s="301" t="n"/>
    </row>
    <row r="43" ht="15" customHeight="1" s="221">
      <c r="A43" s="319" t="n"/>
      <c r="B43" s="324" t="n"/>
      <c r="C43" s="322" t="n"/>
      <c r="D43" s="322" t="n"/>
      <c r="E43" s="323" t="n"/>
      <c r="F43" s="323" t="n"/>
      <c r="G43" s="324" t="n"/>
      <c r="H43" s="322" t="n"/>
      <c r="I43" s="301" t="n"/>
      <c r="J43" s="301" t="n"/>
    </row>
    <row r="44" ht="15" customHeight="1" s="221">
      <c r="A44" s="313" t="n"/>
      <c r="B44" s="318" t="n"/>
      <c r="C44" s="316" t="n"/>
      <c r="D44" s="316" t="n"/>
      <c r="E44" s="317" t="n"/>
      <c r="F44" s="317" t="n"/>
      <c r="G44" s="318" t="n"/>
      <c r="H44" s="316" t="n"/>
      <c r="I44" s="301" t="n"/>
      <c r="J44" s="301" t="n"/>
    </row>
    <row r="45" ht="15" customHeight="1" s="221">
      <c r="A45" s="319" t="n"/>
      <c r="B45" s="324" t="n"/>
      <c r="C45" s="322" t="n"/>
      <c r="D45" s="322" t="n"/>
      <c r="E45" s="323" t="n"/>
      <c r="F45" s="323" t="n"/>
      <c r="G45" s="324" t="n"/>
      <c r="H45" s="322" t="n"/>
      <c r="I45" s="301" t="n"/>
      <c r="J45" s="301" t="n"/>
    </row>
    <row r="46" ht="15" customHeight="1" s="221">
      <c r="A46" s="313" t="n"/>
      <c r="B46" s="318" t="n"/>
      <c r="C46" s="316" t="n"/>
      <c r="D46" s="316" t="n"/>
      <c r="E46" s="317" t="n"/>
      <c r="F46" s="317" t="n"/>
      <c r="G46" s="318" t="n"/>
      <c r="H46" s="316" t="n"/>
      <c r="I46" s="301" t="n"/>
      <c r="J46" s="301" t="n"/>
    </row>
    <row r="47" ht="15" customHeight="1" s="221">
      <c r="A47" s="319" t="n"/>
      <c r="B47" s="324" t="n"/>
      <c r="C47" s="322" t="n"/>
      <c r="D47" s="322" t="n"/>
      <c r="E47" s="323" t="n"/>
      <c r="F47" s="323" t="n"/>
      <c r="G47" s="324" t="n"/>
      <c r="H47" s="322" t="n"/>
      <c r="I47" s="301" t="n"/>
      <c r="J47" s="301" t="n"/>
    </row>
    <row r="48" ht="15" customHeight="1" s="221">
      <c r="A48" s="313" t="n"/>
      <c r="B48" s="318" t="n"/>
      <c r="C48" s="316" t="n"/>
      <c r="D48" s="316" t="n"/>
      <c r="E48" s="317" t="n"/>
      <c r="F48" s="317" t="n"/>
      <c r="G48" s="318" t="n"/>
      <c r="H48" s="316" t="n"/>
      <c r="I48" s="301" t="n"/>
      <c r="J48" s="301" t="n"/>
    </row>
    <row r="49" ht="15" customHeight="1" s="221">
      <c r="A49" s="319" t="n"/>
      <c r="B49" s="324" t="n"/>
      <c r="C49" s="322" t="n"/>
      <c r="D49" s="322" t="n"/>
      <c r="E49" s="323" t="n"/>
      <c r="F49" s="323" t="n"/>
      <c r="G49" s="324" t="n"/>
      <c r="H49" s="322" t="n"/>
      <c r="I49" s="301" t="n"/>
      <c r="J49" s="301" t="n"/>
    </row>
    <row r="50" ht="15" customHeight="1" s="221">
      <c r="A50" s="313" t="n"/>
      <c r="B50" s="318" t="n"/>
      <c r="C50" s="316" t="n"/>
      <c r="D50" s="316" t="n"/>
      <c r="E50" s="317" t="n"/>
      <c r="F50" s="317" t="n"/>
      <c r="G50" s="318" t="n"/>
      <c r="H50" s="316" t="n"/>
      <c r="I50" s="301" t="n"/>
      <c r="J50" s="301" t="n"/>
    </row>
    <row r="51" ht="15" customHeight="1" s="221">
      <c r="A51" s="319" t="n"/>
      <c r="B51" s="324" t="n"/>
      <c r="C51" s="322" t="n"/>
      <c r="D51" s="322" t="n"/>
      <c r="E51" s="323" t="n"/>
      <c r="F51" s="323" t="n"/>
      <c r="G51" s="324" t="n"/>
      <c r="H51" s="322" t="n"/>
      <c r="I51" s="301" t="n"/>
      <c r="J51" s="301" t="n"/>
    </row>
    <row r="52" ht="15" customHeight="1" s="221">
      <c r="A52" s="313" t="n"/>
      <c r="B52" s="318" t="n"/>
      <c r="C52" s="316" t="n"/>
      <c r="D52" s="316" t="n"/>
      <c r="E52" s="317" t="n"/>
      <c r="F52" s="317" t="n"/>
      <c r="G52" s="318" t="n"/>
      <c r="H52" s="316" t="n"/>
      <c r="I52" s="301" t="n"/>
      <c r="J52" s="301" t="n"/>
    </row>
    <row r="53" ht="15" customHeight="1" s="221">
      <c r="A53" s="319" t="n"/>
      <c r="B53" s="324" t="n"/>
      <c r="C53" s="322" t="n"/>
      <c r="D53" s="322" t="n"/>
      <c r="E53" s="323" t="n"/>
      <c r="F53" s="323" t="n"/>
      <c r="G53" s="324" t="n"/>
      <c r="H53" s="322" t="n"/>
      <c r="I53" s="301" t="n"/>
      <c r="J53" s="301" t="n"/>
    </row>
    <row r="54" ht="15" customHeight="1" s="221">
      <c r="A54" s="313" t="n"/>
      <c r="B54" s="318" t="n"/>
      <c r="C54" s="316" t="n"/>
      <c r="D54" s="316" t="n"/>
      <c r="E54" s="317" t="n"/>
      <c r="F54" s="317" t="n"/>
      <c r="G54" s="318" t="n"/>
      <c r="H54" s="316" t="n"/>
      <c r="I54" s="301" t="n"/>
      <c r="J54" s="301" t="n"/>
    </row>
    <row r="55" ht="15" customHeight="1" s="221">
      <c r="A55" s="319" t="n"/>
      <c r="B55" s="324" t="n"/>
      <c r="C55" s="322" t="n"/>
      <c r="D55" s="322" t="n"/>
      <c r="E55" s="323" t="n"/>
      <c r="F55" s="323" t="n"/>
      <c r="G55" s="324" t="n"/>
      <c r="H55" s="322" t="n"/>
      <c r="I55" s="301" t="n"/>
      <c r="J55" s="301" t="n"/>
    </row>
    <row r="56" ht="15" customHeight="1" s="221">
      <c r="A56" s="313" t="n"/>
      <c r="B56" s="318" t="n"/>
      <c r="C56" s="316" t="n"/>
      <c r="D56" s="316" t="n"/>
      <c r="E56" s="317" t="n"/>
      <c r="F56" s="317" t="n"/>
      <c r="G56" s="318" t="n"/>
      <c r="H56" s="316" t="n"/>
      <c r="I56" s="301" t="n"/>
      <c r="J56" s="301" t="n"/>
    </row>
    <row r="57" ht="15" customHeight="1" s="221">
      <c r="A57" s="319" t="n"/>
      <c r="B57" s="324" t="n"/>
      <c r="C57" s="322" t="n"/>
      <c r="D57" s="322" t="n"/>
      <c r="E57" s="323" t="n"/>
      <c r="F57" s="323" t="n"/>
      <c r="G57" s="324" t="n"/>
      <c r="H57" s="322" t="n"/>
      <c r="I57" s="301" t="n"/>
      <c r="J57" s="301" t="n"/>
    </row>
    <row r="58" ht="15" customHeight="1" s="221">
      <c r="A58" s="313" t="n"/>
      <c r="B58" s="318" t="n"/>
      <c r="C58" s="316" t="n"/>
      <c r="D58" s="316" t="n"/>
      <c r="E58" s="317" t="n"/>
      <c r="F58" s="317" t="n"/>
      <c r="G58" s="318" t="n"/>
      <c r="H58" s="316" t="n"/>
      <c r="I58" s="301" t="n"/>
      <c r="J58" s="301" t="n"/>
    </row>
    <row r="59" ht="15" customHeight="1" s="221">
      <c r="A59" s="319" t="n"/>
      <c r="B59" s="324" t="n"/>
      <c r="C59" s="322" t="n"/>
      <c r="D59" s="322" t="n"/>
      <c r="E59" s="323" t="n"/>
      <c r="F59" s="323" t="n"/>
      <c r="G59" s="324" t="n"/>
      <c r="H59" s="322" t="n"/>
      <c r="I59" s="301" t="n"/>
      <c r="J59" s="301" t="n"/>
    </row>
    <row r="60" ht="15" customHeight="1" s="221">
      <c r="A60" s="313" t="n"/>
      <c r="B60" s="318" t="n"/>
      <c r="C60" s="316" t="n"/>
      <c r="D60" s="316" t="n"/>
      <c r="E60" s="317" t="n"/>
      <c r="F60" s="317" t="n"/>
      <c r="G60" s="318" t="n"/>
      <c r="H60" s="316" t="n"/>
      <c r="I60" s="301" t="n"/>
      <c r="J60" s="301" t="n"/>
    </row>
    <row r="61" ht="15" customHeight="1" s="221">
      <c r="A61" s="319" t="n"/>
      <c r="B61" s="324" t="n"/>
      <c r="C61" s="322" t="n"/>
      <c r="D61" s="322" t="n"/>
      <c r="E61" s="323" t="n"/>
      <c r="F61" s="323" t="n"/>
      <c r="G61" s="324" t="n"/>
      <c r="H61" s="322" t="n"/>
      <c r="I61" s="301" t="n"/>
      <c r="J61" s="301" t="n"/>
    </row>
    <row r="62" ht="15" customHeight="1" s="221">
      <c r="A62" s="313" t="n"/>
      <c r="B62" s="318" t="n"/>
      <c r="C62" s="316" t="n"/>
      <c r="D62" s="316" t="n"/>
      <c r="E62" s="317" t="n"/>
      <c r="F62" s="317" t="n"/>
      <c r="G62" s="318" t="n"/>
      <c r="H62" s="316" t="n"/>
      <c r="I62" s="301" t="n"/>
      <c r="J62" s="301" t="n"/>
    </row>
    <row r="63" ht="15" customHeight="1" s="221">
      <c r="A63" s="319" t="n"/>
      <c r="B63" s="324" t="n"/>
      <c r="C63" s="322" t="n"/>
      <c r="D63" s="322" t="n"/>
      <c r="E63" s="323" t="n"/>
      <c r="F63" s="323" t="n"/>
      <c r="G63" s="324" t="n"/>
      <c r="H63" s="322" t="n"/>
      <c r="I63" s="301" t="n"/>
      <c r="J63" s="301" t="n"/>
    </row>
    <row r="64" ht="15" customHeight="1" s="221">
      <c r="A64" s="313" t="n"/>
      <c r="B64" s="318" t="n"/>
      <c r="C64" s="316" t="n"/>
      <c r="D64" s="316" t="n"/>
      <c r="E64" s="317" t="n"/>
      <c r="F64" s="317" t="n"/>
      <c r="G64" s="318" t="n"/>
      <c r="H64" s="316" t="n"/>
      <c r="I64" s="301" t="n"/>
      <c r="J64" s="301" t="n"/>
    </row>
    <row r="65" ht="15" customHeight="1" s="221">
      <c r="A65" s="319" t="n"/>
      <c r="B65" s="324" t="n"/>
      <c r="C65" s="322" t="n"/>
      <c r="D65" s="322" t="n"/>
      <c r="E65" s="323" t="n"/>
      <c r="F65" s="323" t="n"/>
      <c r="G65" s="324" t="n"/>
      <c r="H65" s="322" t="n"/>
      <c r="I65" s="301" t="n"/>
      <c r="J65" s="301" t="n"/>
    </row>
    <row r="66" ht="15" customHeight="1" s="221">
      <c r="A66" s="313" t="n"/>
      <c r="B66" s="318" t="n"/>
      <c r="C66" s="316" t="n"/>
      <c r="D66" s="316" t="n"/>
      <c r="E66" s="317" t="n"/>
      <c r="F66" s="317" t="n"/>
      <c r="G66" s="318" t="n"/>
      <c r="H66" s="316" t="n"/>
      <c r="I66" s="301" t="n"/>
      <c r="J66" s="301" t="n"/>
    </row>
    <row r="67" ht="15" customHeight="1" s="221">
      <c r="A67" s="319" t="n"/>
      <c r="B67" s="324" t="n"/>
      <c r="C67" s="322" t="n"/>
      <c r="D67" s="322" t="n"/>
      <c r="E67" s="323" t="n"/>
      <c r="F67" s="323" t="n"/>
      <c r="G67" s="324" t="n"/>
      <c r="H67" s="322" t="n"/>
      <c r="I67" s="301" t="n"/>
      <c r="J67" s="301" t="n"/>
    </row>
    <row r="68" ht="15" customHeight="1" s="221">
      <c r="A68" s="313" t="n"/>
      <c r="B68" s="318" t="n"/>
      <c r="C68" s="316" t="n"/>
      <c r="D68" s="316" t="n"/>
      <c r="E68" s="317" t="n"/>
      <c r="F68" s="317" t="n"/>
      <c r="G68" s="318" t="n"/>
      <c r="H68" s="316" t="n"/>
      <c r="I68" s="301" t="n"/>
      <c r="J68" s="301" t="n"/>
    </row>
    <row r="69" ht="15" customHeight="1" s="221">
      <c r="A69" s="319" t="n"/>
      <c r="B69" s="324" t="n"/>
      <c r="C69" s="322" t="n"/>
      <c r="D69" s="322" t="n"/>
      <c r="E69" s="323" t="n"/>
      <c r="F69" s="323" t="n"/>
      <c r="G69" s="324" t="n"/>
      <c r="H69" s="322" t="n"/>
      <c r="I69" s="301" t="n"/>
      <c r="J69" s="301" t="n"/>
    </row>
    <row r="70" ht="15" customHeight="1" s="221">
      <c r="A70" s="313" t="n"/>
      <c r="B70" s="318" t="n"/>
      <c r="C70" s="316" t="n"/>
      <c r="D70" s="316" t="n"/>
      <c r="E70" s="317" t="n"/>
      <c r="F70" s="317" t="n"/>
      <c r="G70" s="318" t="n"/>
      <c r="H70" s="316" t="n"/>
      <c r="I70" s="301" t="n"/>
      <c r="J70" s="301" t="n"/>
    </row>
    <row r="71" ht="15" customHeight="1" s="221">
      <c r="A71" s="319" t="n"/>
      <c r="B71" s="324" t="n"/>
      <c r="C71" s="322" t="n"/>
      <c r="D71" s="322" t="n"/>
      <c r="E71" s="323" t="n"/>
      <c r="F71" s="323" t="n"/>
      <c r="G71" s="324" t="n"/>
      <c r="H71" s="322" t="n"/>
      <c r="I71" s="301" t="n"/>
      <c r="J71" s="301" t="n"/>
    </row>
    <row r="72" ht="15" customHeight="1" s="221">
      <c r="A72" s="313" t="n"/>
      <c r="B72" s="318" t="n"/>
      <c r="C72" s="316" t="n"/>
      <c r="D72" s="316" t="n"/>
      <c r="E72" s="317" t="n"/>
      <c r="F72" s="317" t="n"/>
      <c r="G72" s="318" t="n"/>
      <c r="H72" s="316" t="n"/>
      <c r="I72" s="301" t="n"/>
      <c r="J72" s="301" t="n"/>
    </row>
    <row r="73" ht="15" customHeight="1" s="221">
      <c r="A73" s="319" t="n"/>
      <c r="B73" s="324" t="n"/>
      <c r="C73" s="322" t="n"/>
      <c r="D73" s="322" t="n"/>
      <c r="E73" s="323" t="n"/>
      <c r="F73" s="323" t="n"/>
      <c r="G73" s="324" t="n"/>
      <c r="H73" s="322" t="n"/>
      <c r="I73" s="301" t="n"/>
      <c r="J73" s="301" t="n"/>
    </row>
    <row r="74" ht="15" customHeight="1" s="221">
      <c r="A74" s="313" t="n"/>
      <c r="B74" s="318" t="n"/>
      <c r="C74" s="316" t="n"/>
      <c r="D74" s="316" t="n"/>
      <c r="E74" s="317" t="n"/>
      <c r="F74" s="317" t="n"/>
      <c r="G74" s="318" t="n"/>
      <c r="H74" s="316" t="n"/>
      <c r="I74" s="301" t="n"/>
      <c r="J74" s="301" t="n"/>
    </row>
    <row r="75" ht="15" customHeight="1" s="221">
      <c r="A75" s="319" t="n"/>
      <c r="B75" s="324" t="n"/>
      <c r="C75" s="322" t="n"/>
      <c r="D75" s="322" t="n"/>
      <c r="E75" s="323" t="n"/>
      <c r="F75" s="323" t="n"/>
      <c r="G75" s="324" t="n"/>
      <c r="H75" s="322" t="n"/>
      <c r="I75" s="301" t="n"/>
      <c r="J75" s="301" t="n"/>
    </row>
    <row r="76" ht="15" customHeight="1" s="221">
      <c r="A76" s="313" t="n"/>
      <c r="B76" s="318" t="n"/>
      <c r="C76" s="316" t="n"/>
      <c r="D76" s="316" t="n"/>
      <c r="E76" s="317" t="n"/>
      <c r="F76" s="317" t="n"/>
      <c r="G76" s="318" t="n"/>
      <c r="H76" s="316" t="n"/>
      <c r="I76" s="301" t="n"/>
      <c r="J76" s="301" t="n"/>
    </row>
    <row r="77" ht="15" customHeight="1" s="221">
      <c r="A77" s="319" t="n"/>
      <c r="B77" s="324" t="n"/>
      <c r="C77" s="322" t="n"/>
      <c r="D77" s="322" t="n"/>
      <c r="E77" s="323" t="n"/>
      <c r="F77" s="323" t="n"/>
      <c r="G77" s="324" t="n"/>
      <c r="H77" s="322" t="n"/>
      <c r="I77" s="301" t="n"/>
      <c r="J77" s="301" t="n"/>
    </row>
    <row r="78" ht="15" customHeight="1" s="221">
      <c r="A78" s="313" t="n"/>
      <c r="B78" s="318" t="n"/>
      <c r="C78" s="316" t="n"/>
      <c r="D78" s="316" t="n"/>
      <c r="E78" s="317" t="n"/>
      <c r="F78" s="317" t="n"/>
      <c r="G78" s="318" t="n"/>
      <c r="H78" s="316" t="n"/>
      <c r="I78" s="301" t="n"/>
      <c r="J78" s="301" t="n"/>
    </row>
    <row r="79" ht="15" customHeight="1" s="221">
      <c r="A79" s="319" t="n"/>
      <c r="B79" s="324" t="n"/>
      <c r="C79" s="322" t="n"/>
      <c r="D79" s="322" t="n"/>
      <c r="E79" s="323" t="n"/>
      <c r="F79" s="323" t="n"/>
      <c r="G79" s="324" t="n"/>
      <c r="H79" s="322" t="n"/>
      <c r="I79" s="301" t="n"/>
      <c r="J79" s="301" t="n"/>
    </row>
    <row r="80" ht="15" customHeight="1" s="221">
      <c r="A80" s="313" t="n"/>
      <c r="B80" s="318" t="n"/>
      <c r="C80" s="316" t="n"/>
      <c r="D80" s="316" t="n"/>
      <c r="E80" s="317" t="n"/>
      <c r="F80" s="317" t="n"/>
      <c r="G80" s="318" t="n"/>
      <c r="H80" s="316" t="n"/>
      <c r="I80" s="301" t="n"/>
      <c r="J80" s="301" t="n"/>
    </row>
    <row r="81" ht="15" customHeight="1" s="221">
      <c r="A81" s="319" t="n"/>
      <c r="B81" s="324" t="n"/>
      <c r="C81" s="322" t="n"/>
      <c r="D81" s="322" t="n"/>
      <c r="E81" s="323" t="n"/>
      <c r="F81" s="323" t="n"/>
      <c r="G81" s="324" t="n"/>
      <c r="H81" s="322" t="n"/>
      <c r="I81" s="301" t="n"/>
      <c r="J81" s="301" t="n"/>
    </row>
    <row r="82" ht="15" customHeight="1" s="221">
      <c r="A82" s="313" t="n"/>
      <c r="B82" s="318" t="n"/>
      <c r="C82" s="316" t="n"/>
      <c r="D82" s="316" t="n"/>
      <c r="E82" s="317" t="n"/>
      <c r="F82" s="317" t="n"/>
      <c r="G82" s="318" t="n"/>
      <c r="H82" s="316" t="n"/>
      <c r="I82" s="301" t="n"/>
      <c r="J82" s="301" t="n"/>
    </row>
    <row r="83" ht="15" customHeight="1" s="221">
      <c r="A83" s="319" t="n"/>
      <c r="B83" s="324" t="n"/>
      <c r="C83" s="322" t="n"/>
      <c r="D83" s="322" t="n"/>
      <c r="E83" s="323" t="n"/>
      <c r="F83" s="323" t="n"/>
      <c r="G83" s="324" t="n"/>
      <c r="H83" s="322" t="n"/>
      <c r="I83" s="301" t="n"/>
      <c r="J83" s="301" t="n"/>
    </row>
    <row r="84" ht="15" customHeight="1" s="221">
      <c r="A84" s="313" t="n"/>
      <c r="B84" s="318" t="n"/>
      <c r="C84" s="316" t="n"/>
      <c r="D84" s="316" t="n"/>
      <c r="E84" s="317" t="n"/>
      <c r="F84" s="317" t="n"/>
      <c r="G84" s="318" t="n"/>
      <c r="H84" s="316" t="n"/>
      <c r="I84" s="301" t="n"/>
      <c r="J84" s="301" t="n"/>
    </row>
    <row r="85" ht="15" customHeight="1" s="221">
      <c r="A85" s="319" t="n"/>
      <c r="B85" s="324" t="n"/>
      <c r="C85" s="322" t="n"/>
      <c r="D85" s="322" t="n"/>
      <c r="E85" s="323" t="n"/>
      <c r="F85" s="323" t="n"/>
      <c r="G85" s="324" t="n"/>
      <c r="H85" s="322" t="n"/>
      <c r="I85" s="301" t="n"/>
      <c r="J85" s="301" t="n"/>
    </row>
    <row r="86" ht="15" customHeight="1" s="221">
      <c r="A86" s="313" t="n"/>
      <c r="B86" s="318" t="n"/>
      <c r="C86" s="316" t="n"/>
      <c r="D86" s="316" t="n"/>
      <c r="E86" s="317" t="n"/>
      <c r="F86" s="317" t="n"/>
      <c r="G86" s="318" t="n"/>
      <c r="H86" s="316" t="n"/>
      <c r="I86" s="301" t="n"/>
      <c r="J86" s="301" t="n"/>
    </row>
    <row r="87" ht="15" customHeight="1" s="221">
      <c r="A87" s="319" t="n"/>
      <c r="B87" s="324" t="n"/>
      <c r="C87" s="322" t="n"/>
      <c r="D87" s="322" t="n"/>
      <c r="E87" s="323" t="n"/>
      <c r="F87" s="323" t="n"/>
      <c r="G87" s="324" t="n"/>
      <c r="H87" s="322" t="n"/>
      <c r="I87" s="301" t="n"/>
      <c r="J87" s="301" t="n"/>
    </row>
    <row r="88" ht="15" customHeight="1" s="221">
      <c r="A88" s="313" t="n"/>
      <c r="B88" s="318" t="n"/>
      <c r="C88" s="316" t="n"/>
      <c r="D88" s="316" t="n"/>
      <c r="E88" s="317" t="n"/>
      <c r="F88" s="317" t="n"/>
      <c r="G88" s="318" t="n"/>
      <c r="H88" s="316" t="n"/>
      <c r="I88" s="301" t="n"/>
      <c r="J88" s="301" t="n"/>
    </row>
    <row r="89" ht="15" customHeight="1" s="221">
      <c r="A89" s="319" t="n"/>
      <c r="B89" s="324" t="n"/>
      <c r="C89" s="322" t="n"/>
      <c r="D89" s="322" t="n"/>
      <c r="E89" s="323" t="n"/>
      <c r="F89" s="323" t="n"/>
      <c r="G89" s="324" t="n"/>
      <c r="H89" s="322" t="n"/>
      <c r="I89" s="301" t="n"/>
      <c r="J89" s="301" t="n"/>
    </row>
    <row r="90" ht="15" customHeight="1" s="221">
      <c r="A90" s="313" t="n"/>
      <c r="B90" s="318" t="n"/>
      <c r="C90" s="316" t="n"/>
      <c r="D90" s="316" t="n"/>
      <c r="E90" s="317" t="n"/>
      <c r="F90" s="317" t="n"/>
      <c r="G90" s="318" t="n"/>
      <c r="H90" s="316" t="n"/>
      <c r="I90" s="301" t="n"/>
      <c r="J90" s="301" t="n"/>
    </row>
    <row r="91" ht="15" customHeight="1" s="221">
      <c r="A91" s="319" t="n"/>
      <c r="B91" s="324" t="n"/>
      <c r="C91" s="322" t="n"/>
      <c r="D91" s="322" t="n"/>
      <c r="E91" s="323" t="n"/>
      <c r="F91" s="323" t="n"/>
      <c r="G91" s="324" t="n"/>
      <c r="H91" s="322" t="n"/>
      <c r="I91" s="301" t="n"/>
      <c r="J91" s="301" t="n"/>
    </row>
    <row r="92" ht="15" customHeight="1" s="221">
      <c r="A92" s="313" t="n"/>
      <c r="B92" s="318" t="n"/>
      <c r="C92" s="316" t="n"/>
      <c r="D92" s="316" t="n"/>
      <c r="E92" s="317" t="n"/>
      <c r="F92" s="317" t="n"/>
      <c r="G92" s="318" t="n"/>
      <c r="H92" s="316" t="n"/>
      <c r="I92" s="301" t="n"/>
      <c r="J92" s="301" t="n"/>
    </row>
    <row r="93" ht="15" customHeight="1" s="221">
      <c r="A93" s="319" t="n"/>
      <c r="B93" s="324" t="n"/>
      <c r="C93" s="322" t="n"/>
      <c r="D93" s="322" t="n"/>
      <c r="E93" s="323" t="n"/>
      <c r="F93" s="323" t="n"/>
      <c r="G93" s="324" t="n"/>
      <c r="H93" s="322" t="n"/>
      <c r="I93" s="301" t="n"/>
      <c r="J93" s="301" t="n"/>
    </row>
    <row r="94" ht="15" customHeight="1" s="221">
      <c r="A94" s="313" t="n"/>
      <c r="B94" s="318" t="n"/>
      <c r="C94" s="316" t="n"/>
      <c r="D94" s="316" t="n"/>
      <c r="E94" s="317" t="n"/>
      <c r="F94" s="317" t="n"/>
      <c r="G94" s="318" t="n"/>
      <c r="H94" s="316" t="n"/>
      <c r="I94" s="301" t="n"/>
      <c r="J94" s="301" t="n"/>
    </row>
    <row r="95" ht="15" customHeight="1" s="221">
      <c r="A95" s="319" t="n"/>
      <c r="B95" s="324" t="n"/>
      <c r="C95" s="322" t="n"/>
      <c r="D95" s="322" t="n"/>
      <c r="E95" s="323" t="n"/>
      <c r="F95" s="323" t="n"/>
      <c r="G95" s="324" t="n"/>
      <c r="H95" s="322" t="n"/>
      <c r="I95" s="301" t="n"/>
      <c r="J95" s="301" t="n"/>
    </row>
    <row r="96" ht="15" customHeight="1" s="221">
      <c r="A96" s="313" t="n"/>
      <c r="B96" s="318" t="n"/>
      <c r="C96" s="316" t="n"/>
      <c r="D96" s="316" t="n"/>
      <c r="E96" s="317" t="n"/>
      <c r="F96" s="317" t="n"/>
      <c r="G96" s="318" t="n"/>
      <c r="H96" s="316" t="n"/>
      <c r="I96" s="301" t="n"/>
      <c r="J96" s="301" t="n"/>
    </row>
    <row r="97" ht="15" customHeight="1" s="221">
      <c r="A97" s="319" t="n"/>
      <c r="B97" s="324" t="n"/>
      <c r="C97" s="322" t="n"/>
      <c r="D97" s="322" t="n"/>
      <c r="E97" s="323" t="n"/>
      <c r="F97" s="323" t="n"/>
      <c r="G97" s="324" t="n"/>
      <c r="H97" s="322" t="n"/>
      <c r="I97" s="301" t="n"/>
      <c r="J97" s="301" t="n"/>
    </row>
    <row r="98" ht="15" customHeight="1" s="221">
      <c r="A98" s="313" t="n"/>
      <c r="B98" s="318" t="n"/>
      <c r="C98" s="316" t="n"/>
      <c r="D98" s="316" t="n"/>
      <c r="E98" s="317" t="n"/>
      <c r="F98" s="317" t="n"/>
      <c r="G98" s="318" t="n"/>
      <c r="H98" s="316" t="n"/>
      <c r="I98" s="301" t="n"/>
      <c r="J98" s="301" t="n"/>
    </row>
    <row r="99" ht="15" customHeight="1" s="221">
      <c r="A99" s="319" t="n"/>
      <c r="B99" s="324" t="n"/>
      <c r="C99" s="322" t="n"/>
      <c r="D99" s="322" t="n"/>
      <c r="E99" s="323" t="n"/>
      <c r="F99" s="323" t="n"/>
      <c r="G99" s="324" t="n"/>
      <c r="H99" s="322" t="n"/>
      <c r="I99" s="301" t="n"/>
      <c r="J99" s="301" t="n"/>
    </row>
    <row r="100" ht="15" customHeight="1" s="221">
      <c r="A100" s="313" t="n"/>
      <c r="B100" s="318" t="n"/>
      <c r="C100" s="316" t="n"/>
      <c r="D100" s="316" t="n"/>
      <c r="E100" s="317" t="n"/>
      <c r="F100" s="317" t="n"/>
      <c r="G100" s="318" t="n"/>
      <c r="H100" s="316" t="n"/>
      <c r="I100" s="301" t="n"/>
      <c r="J100" s="301" t="n"/>
    </row>
    <row r="101" ht="15" customHeight="1" s="221">
      <c r="A101" s="319" t="n"/>
      <c r="B101" s="324" t="n"/>
      <c r="C101" s="322" t="n"/>
      <c r="D101" s="322" t="n"/>
      <c r="E101" s="323" t="n"/>
      <c r="F101" s="323" t="n"/>
      <c r="G101" s="324" t="n"/>
      <c r="H101" s="322" t="n"/>
      <c r="I101" s="301" t="n"/>
      <c r="J101" s="301" t="n"/>
    </row>
    <row r="102" ht="15" customHeight="1" s="221">
      <c r="A102" s="313" t="n"/>
      <c r="B102" s="318" t="n"/>
      <c r="C102" s="316" t="n"/>
      <c r="D102" s="316" t="n"/>
      <c r="E102" s="317" t="n"/>
      <c r="F102" s="317" t="n"/>
      <c r="G102" s="318" t="n"/>
      <c r="H102" s="316" t="n"/>
      <c r="I102" s="301" t="n"/>
      <c r="J102" s="301" t="n"/>
    </row>
    <row r="103" ht="15" customHeight="1" s="221">
      <c r="A103" s="319" t="n"/>
      <c r="B103" s="324" t="n"/>
      <c r="C103" s="322" t="n"/>
      <c r="D103" s="322" t="n"/>
      <c r="E103" s="323" t="n"/>
      <c r="F103" s="323" t="n"/>
      <c r="G103" s="324" t="n"/>
      <c r="H103" s="322" t="n"/>
      <c r="I103" s="301" t="n"/>
      <c r="J103" s="301" t="n"/>
    </row>
    <row r="104" ht="15" customHeight="1" s="221">
      <c r="A104" s="325" t="inlineStr">
        <is>
          <t>TOTALES</t>
        </is>
      </c>
      <c r="E104" s="326">
        <f>SUM(E4:E103)</f>
        <v/>
      </c>
      <c r="F104" s="327">
        <f>SUM(F4:F103)</f>
        <v/>
      </c>
      <c r="G104" s="301" t="n"/>
      <c r="H104" s="301" t="n"/>
      <c r="I104" s="301" t="n"/>
      <c r="J104" s="301" t="n"/>
    </row>
    <row r="105" ht="18" customHeight="1" s="221">
      <c r="A105" s="301" t="n"/>
      <c r="B105" s="301" t="n"/>
      <c r="C105" s="301" t="n"/>
      <c r="D105" s="301" t="n"/>
      <c r="E105" s="328" t="n"/>
      <c r="F105" s="301" t="n"/>
      <c r="G105" s="301" t="n"/>
      <c r="H105" s="301" t="n"/>
      <c r="I105" s="301" t="n"/>
      <c r="J105" s="301" t="n"/>
    </row>
    <row r="106" ht="15" customHeight="1" s="221">
      <c r="A106" s="310" t="inlineStr">
        <is>
          <t>📊 RESUMEN DEL MES</t>
        </is>
      </c>
      <c r="D106" s="301" t="n"/>
      <c r="E106" s="328" t="n"/>
      <c r="F106" s="301" t="n"/>
      <c r="G106" s="301" t="n"/>
      <c r="H106" s="301" t="n"/>
      <c r="I106" s="301" t="n"/>
      <c r="J106" s="301" t="n"/>
    </row>
    <row r="107" ht="15" customHeight="1" s="221">
      <c r="A107" s="223" t="inlineStr">
        <is>
          <t>INGRESOS:</t>
        </is>
      </c>
      <c r="B107" s="301" t="n"/>
      <c r="C107" s="328">
        <f>SUMIF(B4:B103,"Ingreso NT",E4:E103)</f>
        <v/>
      </c>
      <c r="D107" s="301" t="n"/>
      <c r="E107" s="328" t="n"/>
      <c r="F107" s="301" t="n"/>
      <c r="G107" s="301" t="n"/>
      <c r="H107" s="301" t="n"/>
      <c r="I107" s="301" t="n"/>
      <c r="J107" s="301" t="n"/>
    </row>
    <row r="108" ht="15" customHeight="1" s="221">
      <c r="A108" s="301" t="inlineStr">
        <is>
          <t xml:space="preserve">  Ingreso NT:</t>
        </is>
      </c>
      <c r="B108" s="301" t="n"/>
      <c r="C108" s="329">
        <f>SUMIF(B4:B103,"Ingreso NT",E4:E103)</f>
        <v/>
      </c>
      <c r="D108" s="301" t="n"/>
      <c r="E108" s="328" t="n"/>
      <c r="F108" s="301" t="n"/>
      <c r="G108" s="301" t="n"/>
      <c r="H108" s="301" t="n"/>
      <c r="I108" s="301" t="n"/>
      <c r="J108" s="301" t="n"/>
    </row>
    <row r="109" ht="15" customHeight="1" s="221">
      <c r="A109" s="301" t="inlineStr">
        <is>
          <t xml:space="preserve">  Ingreso Marco:</t>
        </is>
      </c>
      <c r="B109" s="301" t="n"/>
      <c r="C109" s="330">
        <f>SUMIF(B4:B103,"Ingreso Marco",E4:E103)</f>
        <v/>
      </c>
      <c r="D109" s="301" t="n"/>
      <c r="E109" s="328" t="n"/>
      <c r="F109" s="301" t="n"/>
      <c r="G109" s="301" t="n"/>
      <c r="H109" s="301" t="n"/>
      <c r="I109" s="301" t="n"/>
      <c r="J109" s="301" t="n"/>
    </row>
    <row r="110" ht="15" customHeight="1" s="221">
      <c r="A110" s="301" t="inlineStr">
        <is>
          <t xml:space="preserve">  Ingreso Clara:</t>
        </is>
      </c>
      <c r="B110" s="301" t="n"/>
      <c r="C110" s="331">
        <f>SUMIF(B4:B103,"Ingreso Clara",E4:E103)</f>
        <v/>
      </c>
      <c r="D110" s="301" t="n"/>
      <c r="E110" s="328" t="n"/>
      <c r="F110" s="301" t="n"/>
      <c r="G110" s="301" t="n"/>
      <c r="H110" s="301" t="n"/>
      <c r="I110" s="301" t="n"/>
      <c r="J110" s="301" t="n"/>
    </row>
    <row r="111" ht="15" customHeight="1" s="221">
      <c r="A111" s="301" t="inlineStr">
        <is>
          <t xml:space="preserve">  Devolución Fam → NT:</t>
        </is>
      </c>
      <c r="B111" s="301" t="n"/>
      <c r="C111" s="332">
        <f>SUMIF(B4:B103,"Devolución Familia → NT",E4:E103)</f>
        <v/>
      </c>
      <c r="D111" s="301" t="n"/>
      <c r="E111" s="328" t="n"/>
      <c r="F111" s="301" t="n"/>
      <c r="G111" s="301" t="n"/>
      <c r="H111" s="301" t="n"/>
      <c r="I111" s="301" t="n"/>
      <c r="J111" s="301" t="n"/>
    </row>
    <row r="112" ht="15" customHeight="1" s="221">
      <c r="A112" s="223" t="inlineStr">
        <is>
          <t xml:space="preserve">  TOTAL INGRESOS:</t>
        </is>
      </c>
      <c r="B112" s="301" t="n"/>
      <c r="C112" s="333">
        <f>SUM(C108:C111)</f>
        <v/>
      </c>
      <c r="D112" s="301" t="n"/>
      <c r="E112" s="328" t="n"/>
      <c r="F112" s="301" t="n"/>
      <c r="G112" s="301" t="n"/>
      <c r="H112" s="301" t="n"/>
      <c r="I112" s="301" t="n"/>
      <c r="J112" s="301" t="n"/>
    </row>
    <row r="113" ht="15" customHeight="1" s="221">
      <c r="A113" s="301" t="inlineStr">
        <is>
          <t>EGRESOS:</t>
        </is>
      </c>
      <c r="B113" s="301" t="n"/>
      <c r="C113" s="301" t="n"/>
      <c r="D113" s="301" t="n"/>
      <c r="E113" s="328" t="n"/>
      <c r="F113" s="301" t="n"/>
      <c r="G113" s="301" t="n"/>
      <c r="H113" s="301" t="n"/>
      <c r="I113" s="301" t="n"/>
      <c r="J113" s="301" t="n"/>
    </row>
    <row r="114" ht="15" customHeight="1" s="221">
      <c r="A114" s="223" t="inlineStr">
        <is>
          <t>EGRESOS:</t>
        </is>
      </c>
      <c r="B114" s="301" t="n"/>
      <c r="C114" s="328">
        <f>SUMIF(B4:B103,"Egreso NT",F4:F103)</f>
        <v/>
      </c>
      <c r="D114" s="301" t="n"/>
      <c r="E114" s="328" t="n"/>
      <c r="F114" s="301" t="n"/>
      <c r="G114" s="301" t="n"/>
      <c r="H114" s="301" t="n"/>
      <c r="I114" s="301" t="n"/>
      <c r="J114" s="301" t="n"/>
    </row>
    <row r="115" ht="15" customHeight="1" s="221">
      <c r="A115" s="301" t="inlineStr">
        <is>
          <t xml:space="preserve">  Egreso NT:</t>
        </is>
      </c>
      <c r="B115" s="301" t="n"/>
      <c r="C115" s="334">
        <f>SUMIF(B4:B103,"Egreso NT",F4:F103)</f>
        <v/>
      </c>
      <c r="D115" s="301" t="n"/>
      <c r="E115" s="328" t="n"/>
      <c r="F115" s="301" t="n"/>
      <c r="G115" s="301" t="n"/>
      <c r="H115" s="301" t="n"/>
      <c r="I115" s="301" t="n"/>
      <c r="J115" s="301" t="n"/>
    </row>
    <row r="116" ht="15" customHeight="1" s="221">
      <c r="A116" s="301" t="inlineStr">
        <is>
          <t xml:space="preserve">  Egreso Familiar:</t>
        </is>
      </c>
      <c r="B116" s="301" t="n"/>
      <c r="C116" s="335">
        <f>SUMIF(B4:B103,"Egreso Familiar",F4:F103)</f>
        <v/>
      </c>
      <c r="D116" s="301" t="n"/>
      <c r="E116" s="328" t="n"/>
      <c r="F116" s="301" t="n"/>
      <c r="G116" s="301" t="n"/>
      <c r="H116" s="301" t="n"/>
      <c r="I116" s="301" t="n"/>
      <c r="J116" s="301" t="n"/>
    </row>
    <row r="117" ht="15" customHeight="1" s="221">
      <c r="A117" s="301" t="inlineStr">
        <is>
          <t xml:space="preserve">  Préstamo NT → Fam:</t>
        </is>
      </c>
      <c r="B117" s="301" t="n"/>
      <c r="C117" s="336">
        <f>SUMIF(B4:B103,"Préstamo NT → Familia",F4:F103)</f>
        <v/>
      </c>
      <c r="D117" s="301" t="n"/>
      <c r="E117" s="328" t="n"/>
      <c r="F117" s="301" t="n"/>
      <c r="G117" s="301" t="n"/>
      <c r="H117" s="301" t="n"/>
      <c r="I117" s="301" t="n"/>
      <c r="J117" s="301" t="n"/>
    </row>
    <row r="118" ht="15" customHeight="1" s="221">
      <c r="A118" s="223" t="inlineStr">
        <is>
          <t xml:space="preserve">  TOTAL EGRESOS:</t>
        </is>
      </c>
      <c r="B118" s="301" t="n"/>
      <c r="C118" s="337">
        <f>SUM(C115:C117)</f>
        <v/>
      </c>
      <c r="D118" s="301" t="n"/>
      <c r="E118" s="328" t="n"/>
      <c r="F118" s="301" t="n"/>
      <c r="G118" s="301" t="n"/>
      <c r="H118" s="301" t="n"/>
      <c r="I118" s="301" t="n"/>
      <c r="J118" s="301" t="n"/>
    </row>
    <row r="119" ht="15" customHeight="1" s="221">
      <c r="A119" s="301" t="n"/>
      <c r="B119" s="301" t="n"/>
      <c r="C119" s="301" t="n"/>
      <c r="D119" s="301" t="n"/>
      <c r="E119" s="328" t="n"/>
      <c r="F119" s="301" t="n"/>
      <c r="G119" s="301" t="n"/>
      <c r="H119" s="301" t="n"/>
      <c r="I119" s="301" t="n"/>
      <c r="J119" s="301" t="n"/>
    </row>
    <row r="120" ht="15" customHeight="1" s="221">
      <c r="A120" s="223" t="inlineStr">
        <is>
          <t>SALDO PRÉSTAMO NT → FAM:</t>
        </is>
      </c>
      <c r="B120" s="301" t="n"/>
      <c r="C120" s="338">
        <f>C117-C111</f>
        <v/>
      </c>
      <c r="D120" s="301" t="n"/>
      <c r="E120" s="328" t="n"/>
      <c r="F120" s="301" t="n"/>
      <c r="G120" s="301" t="n"/>
      <c r="H120" s="301" t="n"/>
      <c r="I120" s="301" t="n"/>
      <c r="J120" s="301" t="n"/>
    </row>
    <row r="121" ht="15" customHeight="1" s="221">
      <c r="A121" s="339" t="inlineStr">
        <is>
          <t>(Prestado - Devuelto)</t>
        </is>
      </c>
      <c r="B121" s="301" t="n"/>
      <c r="C121" s="301" t="n"/>
      <c r="D121" s="301" t="n"/>
      <c r="E121" s="328" t="n"/>
      <c r="F121" s="301" t="n"/>
      <c r="G121" s="301" t="n"/>
      <c r="H121" s="301" t="n"/>
      <c r="I121" s="301" t="n"/>
      <c r="J121" s="301" t="n"/>
    </row>
    <row r="122" ht="15" customHeight="1" s="221">
      <c r="A122" s="301" t="n"/>
      <c r="B122" s="301" t="n"/>
      <c r="C122" s="301" t="n"/>
      <c r="D122" s="301" t="n"/>
      <c r="E122" s="328" t="n"/>
      <c r="F122" s="301" t="n"/>
      <c r="G122" s="301" t="n"/>
      <c r="H122" s="301" t="n"/>
      <c r="I122" s="301" t="n"/>
      <c r="J122" s="301" t="n"/>
    </row>
    <row r="123" ht="15" customHeight="1" s="221">
      <c r="A123" s="301" t="n"/>
      <c r="B123" s="301" t="n"/>
      <c r="C123" s="301" t="n"/>
      <c r="D123" s="301" t="n"/>
      <c r="E123" s="328" t="n"/>
      <c r="F123" s="301" t="n"/>
      <c r="G123" s="301" t="n"/>
      <c r="H123" s="301" t="n"/>
      <c r="I123" s="301" t="n"/>
      <c r="J123" s="301" t="n"/>
    </row>
    <row r="124" ht="15" customHeight="1" s="221">
      <c r="A124" s="301" t="n"/>
      <c r="B124" s="301" t="n"/>
      <c r="C124" s="301" t="n"/>
      <c r="D124" s="301" t="n"/>
      <c r="E124" s="328" t="n"/>
      <c r="F124" s="301" t="n"/>
      <c r="G124" s="301" t="n"/>
      <c r="H124" s="301" t="n"/>
      <c r="I124" s="301" t="n"/>
      <c r="J124" s="301" t="n"/>
    </row>
    <row r="125" ht="15" customHeight="1" s="221">
      <c r="A125" s="301" t="n"/>
      <c r="B125" s="301" t="n"/>
      <c r="C125" s="301" t="n"/>
      <c r="D125" s="301" t="n"/>
      <c r="E125" s="328" t="n"/>
      <c r="F125" s="301" t="n"/>
      <c r="G125" s="301" t="n"/>
      <c r="H125" s="301" t="n"/>
      <c r="I125" s="301" t="n"/>
      <c r="J125" s="301" t="n"/>
    </row>
    <row r="126" ht="15" customHeight="1" s="221">
      <c r="A126" s="301" t="n"/>
      <c r="B126" s="301" t="n"/>
      <c r="C126" s="301" t="n"/>
      <c r="D126" s="301" t="n"/>
      <c r="E126" s="328" t="n"/>
      <c r="F126" s="301" t="n"/>
      <c r="G126" s="301" t="n"/>
      <c r="H126" s="301" t="n"/>
      <c r="I126" s="301" t="n"/>
      <c r="J126" s="301" t="n"/>
    </row>
    <row r="127" ht="15" customHeight="1" s="221">
      <c r="A127" s="301" t="n"/>
      <c r="B127" s="301" t="n"/>
      <c r="C127" s="301" t="n"/>
      <c r="D127" s="301" t="n"/>
      <c r="E127" s="328" t="n"/>
      <c r="F127" s="301" t="n"/>
      <c r="G127" s="301" t="n"/>
      <c r="H127" s="301" t="n"/>
      <c r="I127" s="301" t="n"/>
      <c r="J127" s="301" t="n"/>
    </row>
    <row r="128" ht="15" customHeight="1" s="221">
      <c r="A128" s="301" t="n"/>
      <c r="B128" s="301" t="n"/>
      <c r="C128" s="301" t="n"/>
      <c r="D128" s="301" t="n"/>
      <c r="E128" s="328" t="n"/>
      <c r="F128" s="301" t="n"/>
      <c r="G128" s="301" t="n"/>
      <c r="H128" s="301" t="n"/>
      <c r="I128" s="301" t="n"/>
      <c r="J128" s="301" t="n"/>
    </row>
    <row r="129" ht="15" customHeight="1" s="221">
      <c r="A129" s="301" t="n"/>
      <c r="B129" s="301" t="n"/>
      <c r="C129" s="301" t="n"/>
      <c r="D129" s="301" t="n"/>
      <c r="E129" s="328" t="n"/>
      <c r="F129" s="301" t="n"/>
      <c r="G129" s="301" t="n"/>
      <c r="H129" s="301" t="n"/>
      <c r="I129" s="301" t="n"/>
      <c r="J129" s="301" t="n"/>
    </row>
    <row r="130" ht="15" customHeight="1" s="221">
      <c r="A130" s="301" t="n"/>
      <c r="B130" s="301" t="n"/>
      <c r="C130" s="301" t="n"/>
      <c r="D130" s="301" t="n"/>
      <c r="E130" s="328" t="n"/>
      <c r="F130" s="301" t="n"/>
      <c r="G130" s="301" t="n"/>
      <c r="H130" s="301" t="n"/>
      <c r="I130" s="301" t="n"/>
      <c r="J130" s="301" t="n"/>
    </row>
    <row r="131" ht="15" customHeight="1" s="221">
      <c r="A131" s="301" t="n"/>
      <c r="B131" s="301" t="n"/>
      <c r="C131" s="301" t="n"/>
      <c r="D131" s="301" t="n"/>
      <c r="E131" s="328" t="n"/>
      <c r="F131" s="301" t="n"/>
      <c r="G131" s="301" t="n"/>
      <c r="H131" s="301" t="n"/>
      <c r="I131" s="301" t="n"/>
      <c r="J131" s="301" t="n"/>
    </row>
    <row r="132" ht="15" customHeight="1" s="221">
      <c r="A132" s="301" t="n"/>
      <c r="B132" s="301" t="n"/>
      <c r="C132" s="301" t="n"/>
      <c r="D132" s="301" t="n"/>
      <c r="E132" s="328" t="n"/>
      <c r="F132" s="301" t="n"/>
      <c r="G132" s="301" t="n"/>
      <c r="H132" s="301" t="n"/>
      <c r="I132" s="301" t="n"/>
      <c r="J132" s="301" t="n"/>
    </row>
    <row r="133" ht="15" customHeight="1" s="221">
      <c r="A133" s="301" t="n"/>
      <c r="B133" s="301" t="n"/>
      <c r="C133" s="301" t="n"/>
      <c r="D133" s="301" t="n"/>
      <c r="E133" s="328" t="n"/>
      <c r="F133" s="301" t="n"/>
      <c r="G133" s="301" t="n"/>
      <c r="H133" s="301" t="n"/>
      <c r="I133" s="301" t="n"/>
      <c r="J133" s="301" t="n"/>
    </row>
    <row r="134" ht="15" customHeight="1" s="221">
      <c r="A134" s="301" t="n"/>
      <c r="B134" s="301" t="n"/>
      <c r="C134" s="301" t="n"/>
      <c r="D134" s="301" t="n"/>
      <c r="E134" s="328" t="n"/>
      <c r="F134" s="301" t="n"/>
      <c r="G134" s="301" t="n"/>
      <c r="H134" s="301" t="n"/>
      <c r="I134" s="301" t="n"/>
      <c r="J134" s="301" t="n"/>
    </row>
    <row r="135" ht="15" customHeight="1" s="221">
      <c r="A135" s="301" t="n"/>
      <c r="B135" s="301" t="n"/>
      <c r="C135" s="301" t="n"/>
      <c r="D135" s="301" t="n"/>
      <c r="E135" s="328" t="n"/>
      <c r="F135" s="301" t="n"/>
      <c r="G135" s="301" t="n"/>
      <c r="H135" s="301" t="n"/>
      <c r="I135" s="301" t="n"/>
      <c r="J135" s="301" t="n"/>
    </row>
    <row r="136" ht="15" customHeight="1" s="221">
      <c r="A136" s="301" t="n"/>
      <c r="B136" s="301" t="n"/>
      <c r="C136" s="301" t="n"/>
      <c r="D136" s="301" t="n"/>
      <c r="E136" s="328" t="n"/>
      <c r="F136" s="301" t="n"/>
      <c r="G136" s="301" t="n"/>
      <c r="H136" s="301" t="n"/>
      <c r="I136" s="301" t="n"/>
      <c r="J136" s="301" t="n"/>
    </row>
    <row r="137" ht="15" customHeight="1" s="221">
      <c r="A137" s="301" t="n"/>
      <c r="B137" s="301" t="n"/>
      <c r="C137" s="301" t="n"/>
      <c r="D137" s="301" t="n"/>
      <c r="E137" s="328" t="n"/>
      <c r="F137" s="301" t="n"/>
      <c r="G137" s="301" t="n"/>
      <c r="H137" s="301" t="n"/>
      <c r="I137" s="301" t="n"/>
      <c r="J137" s="301" t="n"/>
    </row>
    <row r="138" ht="15" customHeight="1" s="221">
      <c r="A138" s="301" t="n"/>
      <c r="B138" s="301" t="n"/>
      <c r="C138" s="301" t="n"/>
      <c r="D138" s="301" t="n"/>
      <c r="E138" s="328" t="n"/>
      <c r="F138" s="301" t="n"/>
      <c r="G138" s="301" t="n"/>
      <c r="H138" s="301" t="n"/>
      <c r="I138" s="301" t="n"/>
      <c r="J138" s="301" t="n"/>
    </row>
    <row r="139" ht="15" customHeight="1" s="221">
      <c r="A139" s="301" t="n"/>
      <c r="B139" s="301" t="n"/>
      <c r="C139" s="301" t="n"/>
      <c r="D139" s="301" t="n"/>
      <c r="E139" s="301" t="n"/>
      <c r="F139" s="301" t="n"/>
      <c r="G139" s="301" t="n"/>
      <c r="H139" s="301" t="n"/>
      <c r="I139" s="301" t="n"/>
      <c r="J139" s="301" t="n"/>
    </row>
    <row r="140" ht="15" customHeight="1" s="221">
      <c r="A140" s="301" t="n"/>
      <c r="B140" s="301" t="n"/>
      <c r="C140" s="301" t="n"/>
      <c r="D140" s="301" t="n"/>
      <c r="E140" s="301" t="n"/>
      <c r="F140" s="301" t="n"/>
      <c r="G140" s="301" t="n"/>
      <c r="H140" s="301" t="n"/>
      <c r="I140" s="301" t="n"/>
      <c r="J140" s="301" t="n"/>
    </row>
    <row r="141" ht="15" customHeight="1" s="221">
      <c r="A141" s="301" t="n"/>
      <c r="B141" s="301" t="n"/>
      <c r="C141" s="301" t="n"/>
      <c r="D141" s="301" t="n"/>
      <c r="E141" s="301" t="n"/>
      <c r="F141" s="301" t="n"/>
      <c r="G141" s="301" t="n"/>
      <c r="H141" s="301" t="n"/>
      <c r="I141" s="301" t="n"/>
      <c r="J141" s="301" t="n"/>
    </row>
    <row r="142" ht="15" customHeight="1" s="221">
      <c r="A142" s="301" t="n"/>
      <c r="B142" s="301" t="n"/>
      <c r="C142" s="301" t="n"/>
      <c r="D142" s="301" t="n"/>
      <c r="E142" s="301" t="n"/>
      <c r="F142" s="301" t="n"/>
      <c r="G142" s="301" t="n"/>
      <c r="H142" s="301" t="n"/>
      <c r="I142" s="301" t="n"/>
      <c r="J142" s="301" t="n"/>
    </row>
    <row r="143" ht="15" customHeight="1" s="221">
      <c r="A143" s="301" t="n"/>
      <c r="B143" s="301" t="n"/>
      <c r="C143" s="301" t="n"/>
      <c r="D143" s="301" t="n"/>
      <c r="E143" s="301" t="n"/>
      <c r="F143" s="301" t="n"/>
      <c r="G143" s="301" t="n"/>
      <c r="H143" s="301" t="n"/>
      <c r="I143" s="301" t="n"/>
      <c r="J143" s="301" t="n"/>
    </row>
    <row r="144" ht="15" customHeight="1" s="221">
      <c r="A144" s="301" t="n"/>
      <c r="B144" s="301" t="n"/>
      <c r="C144" s="301" t="n"/>
      <c r="D144" s="301" t="n"/>
      <c r="E144" s="301" t="n"/>
      <c r="F144" s="301" t="n"/>
      <c r="G144" s="301" t="n"/>
      <c r="H144" s="301" t="n"/>
      <c r="I144" s="301" t="n"/>
      <c r="J144" s="301" t="n"/>
    </row>
    <row r="145" ht="15" customHeight="1" s="221">
      <c r="A145" s="301" t="n"/>
      <c r="B145" s="301" t="n"/>
      <c r="C145" s="301" t="n"/>
      <c r="D145" s="301" t="n"/>
      <c r="E145" s="301" t="n"/>
      <c r="F145" s="301" t="n"/>
      <c r="G145" s="301" t="n"/>
      <c r="H145" s="301" t="n"/>
      <c r="I145" s="301" t="n"/>
      <c r="J145" s="301" t="n"/>
    </row>
    <row r="146" ht="15" customHeight="1" s="221">
      <c r="A146" s="301" t="n"/>
      <c r="B146" s="301" t="n"/>
      <c r="C146" s="301" t="n"/>
      <c r="D146" s="301" t="n"/>
      <c r="E146" s="301" t="n"/>
      <c r="F146" s="301" t="n"/>
      <c r="G146" s="301" t="n"/>
      <c r="H146" s="301" t="n"/>
      <c r="I146" s="301" t="n"/>
      <c r="J146" s="301" t="n"/>
    </row>
    <row r="147" ht="15" customHeight="1" s="221">
      <c r="A147" s="301" t="n"/>
      <c r="B147" s="301" t="n"/>
      <c r="C147" s="301" t="n"/>
      <c r="D147" s="301" t="n"/>
      <c r="E147" s="301" t="n"/>
      <c r="F147" s="301" t="n"/>
      <c r="G147" s="301" t="n"/>
      <c r="H147" s="301" t="n"/>
      <c r="I147" s="301" t="n"/>
      <c r="J147" s="301" t="n"/>
    </row>
    <row r="148" ht="15" customHeight="1" s="221">
      <c r="A148" s="301" t="n"/>
      <c r="B148" s="301" t="n"/>
      <c r="C148" s="301" t="n"/>
      <c r="D148" s="301" t="n"/>
      <c r="E148" s="301" t="n"/>
      <c r="F148" s="301" t="n"/>
      <c r="G148" s="301" t="n"/>
      <c r="H148" s="301" t="n"/>
      <c r="I148" s="301" t="n"/>
      <c r="J148" s="301" t="n"/>
    </row>
    <row r="149" ht="15" customHeight="1" s="221">
      <c r="A149" s="301" t="n"/>
      <c r="B149" s="301" t="n"/>
      <c r="C149" s="301" t="n"/>
      <c r="D149" s="301" t="n"/>
      <c r="E149" s="301" t="n"/>
      <c r="F149" s="301" t="n"/>
      <c r="G149" s="301" t="n"/>
      <c r="H149" s="301" t="n"/>
      <c r="I149" s="301" t="n"/>
      <c r="J149" s="301" t="n"/>
    </row>
    <row r="150" ht="15" customHeight="1" s="221">
      <c r="A150" s="301" t="n"/>
      <c r="B150" s="301" t="n"/>
      <c r="C150" s="301" t="n"/>
      <c r="D150" s="301" t="n"/>
      <c r="E150" s="301" t="n"/>
      <c r="F150" s="301" t="n"/>
      <c r="G150" s="301" t="n"/>
      <c r="H150" s="301" t="n"/>
      <c r="I150" s="301" t="n"/>
      <c r="J150" s="301" t="n"/>
    </row>
  </sheetData>
  <mergeCells count="3">
    <mergeCell ref="A104:D104"/>
    <mergeCell ref="A106:C106"/>
    <mergeCell ref="A1:H1"/>
  </mergeCells>
  <dataValidations count="2">
    <dataValidation sqref="B4:B103" showDropDown="0" showInputMessage="0" showErrorMessage="0" allowBlank="1" type="list" errorStyle="stop" operator="between">
      <formula1>"Familiar,NeuroTEA"</formula1>
      <formula2>0</formula2>
    </dataValidation>
    <dataValidation sqref="C4:C103" showDropDown="0" showInputMessage="0" showErrorMessage="0" allowBlank="1" type="list" errorStyle="stop" operator="between">
      <formula1>"Combustible,Supermercado,Farmacia,Recreación,Gastos Varios,Reserva Fam 1,Reserva Fam 2,Reserva Fam 3,Insumos NT,Papelería NT,Mantenimiento NT,Festejos NT,Gastos Cursos NT,Gastos Varios NT,Reserva NT 1,Reserva NT 2,Reserva NT 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9B59B6"/>
    <outlinePr summaryBelow="1" summaryRight="1"/>
    <pageSetUpPr fitToPage="0"/>
  </sheetPr>
  <dimension ref="A1:L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24" customWidth="1" style="220" min="1" max="1"/>
    <col width="12" customWidth="1" style="220" min="2" max="2"/>
    <col width="14" customWidth="1" style="220" min="3" max="4"/>
    <col width="2" customWidth="1" style="220" min="5" max="6"/>
    <col width="24" customWidth="1" style="220" min="7" max="7"/>
    <col width="12" customWidth="1" style="220" min="8" max="8"/>
    <col width="14" customWidth="1" style="220" min="9" max="10"/>
  </cols>
  <sheetData>
    <row r="1" ht="34.5" customHeight="1" s="221">
      <c r="A1" s="340" t="inlineStr">
        <is>
          <t>📊 CONTROL FINANCIERO - MAYO 2026</t>
        </is>
      </c>
      <c r="K1" s="301" t="n"/>
      <c r="L1" s="301" t="n"/>
    </row>
    <row r="2" ht="15" customHeight="1" s="221">
      <c r="A2" s="301" t="n"/>
      <c r="B2" s="301" t="n"/>
      <c r="C2" s="301" t="n"/>
      <c r="D2" s="301" t="n"/>
      <c r="E2" s="301" t="n"/>
      <c r="F2" s="301" t="n"/>
      <c r="G2" s="301" t="n"/>
      <c r="H2" s="301" t="n"/>
      <c r="I2" s="301" t="n"/>
      <c r="J2" s="301" t="n"/>
      <c r="K2" s="301" t="n"/>
      <c r="L2" s="301" t="n"/>
    </row>
    <row r="3" ht="15" customHeight="1" s="221">
      <c r="A3" s="341" t="inlineStr">
        <is>
          <t>TOTAL INGRESOS</t>
        </is>
      </c>
      <c r="C3" s="301" t="n"/>
      <c r="D3" s="342" t="inlineStr">
        <is>
          <t>GASTOS PAGADOS</t>
        </is>
      </c>
      <c r="F3" s="301" t="n"/>
      <c r="G3" s="343" t="inlineStr">
        <is>
          <t>GASTOS PENDIENTES</t>
        </is>
      </c>
      <c r="I3" s="301" t="n"/>
      <c r="J3" s="344" t="inlineStr">
        <is>
          <t>BALANCE</t>
        </is>
      </c>
      <c r="K3" s="301" t="n"/>
      <c r="L3" s="301" t="n"/>
    </row>
    <row r="4" ht="22.5" customHeight="1" s="221">
      <c r="A4" s="345">
        <f>D26+J12</f>
        <v/>
      </c>
      <c r="C4" s="328" t="n"/>
      <c r="D4" s="346">
        <f>D65+I58</f>
        <v/>
      </c>
      <c r="F4" s="301" t="n"/>
      <c r="G4" s="347">
        <f>D66+I59</f>
        <v/>
      </c>
      <c r="I4" s="301" t="n"/>
      <c r="J4" s="348">
        <f>A4-D4-G4</f>
        <v/>
      </c>
      <c r="K4" s="301" t="n"/>
      <c r="L4" s="301" t="n"/>
    </row>
    <row r="5" ht="15" customHeight="1" s="221">
      <c r="A5" s="301" t="n"/>
      <c r="B5" s="301" t="n"/>
      <c r="C5" s="301" t="n"/>
      <c r="D5" s="301" t="n"/>
      <c r="E5" s="301" t="n"/>
      <c r="F5" s="301" t="n"/>
      <c r="G5" s="301" t="n"/>
      <c r="H5" s="301" t="n"/>
      <c r="I5" s="301" t="n"/>
      <c r="J5" s="301" t="n"/>
      <c r="K5" s="301" t="n"/>
      <c r="L5" s="301" t="n"/>
    </row>
    <row r="6" ht="15.75" customHeight="1" s="221">
      <c r="A6" s="349" t="inlineStr">
        <is>
          <t>⚠️ PRÉSTAMO NT → FAMILIA</t>
        </is>
      </c>
      <c r="D6" s="350">
        <f>SUMIF('Ing-Egr Mayo 2026'!B4:B103,"Préstamo NT → Familia",'Ing-Egr Mayo 2026'!F4:F103)-SUMIF('Ing-Egr Mayo 2026'!B4:B103,"Devolución Familia → NT",'Ing-Egr Mayo 2026'!E4:E103)</f>
        <v/>
      </c>
      <c r="E6" s="301" t="n"/>
      <c r="F6" s="351" t="inlineStr">
        <is>
          <t>Estado:</t>
        </is>
      </c>
      <c r="G6" s="351">
        <f>IF(D6=0,"🟢 SANO","🔴 FUGA")</f>
        <v/>
      </c>
      <c r="H6" s="301" t="n"/>
      <c r="I6" s="339" t="inlineStr">
        <is>
          <t>(Ideal = 0)</t>
        </is>
      </c>
      <c r="J6" s="301" t="n"/>
      <c r="K6" s="301" t="n"/>
      <c r="L6" s="301" t="n"/>
    </row>
    <row r="7" ht="15" customHeight="1" s="221">
      <c r="A7" s="301" t="n"/>
      <c r="B7" s="301" t="n"/>
      <c r="C7" s="301" t="n"/>
      <c r="D7" s="301" t="n"/>
      <c r="E7" s="301" t="n"/>
      <c r="F7" s="301" t="n"/>
      <c r="G7" s="301" t="n"/>
      <c r="H7" s="301" t="n"/>
      <c r="I7" s="301" t="n"/>
      <c r="J7" s="301" t="n"/>
      <c r="K7" s="301" t="n"/>
      <c r="L7" s="301" t="n"/>
    </row>
    <row r="8" ht="15" customHeight="1" s="221">
      <c r="A8" s="352" t="inlineStr">
        <is>
          <t>💵 INGRESOS FAMILIA</t>
        </is>
      </c>
      <c r="B8" s="256" t="n"/>
      <c r="C8" s="256" t="n"/>
      <c r="D8" s="353" t="n"/>
      <c r="E8" s="354" t="n"/>
      <c r="F8" s="354" t="n"/>
      <c r="G8" s="355" t="inlineStr">
        <is>
          <t>💵 INGRESOS NEUROTEA</t>
        </is>
      </c>
      <c r="H8" s="256" t="n"/>
      <c r="I8" s="256" t="n"/>
      <c r="J8" s="353" t="n"/>
      <c r="K8" s="301" t="n"/>
      <c r="L8" s="301" t="n"/>
    </row>
    <row r="9" ht="15" customHeight="1" s="221">
      <c r="A9" s="356" t="inlineStr">
        <is>
          <t>MARCO ITAIPU</t>
        </is>
      </c>
      <c r="B9" s="353" t="n"/>
      <c r="C9" s="357" t="inlineStr">
        <is>
          <t>Fecha</t>
        </is>
      </c>
      <c r="D9" s="358" t="inlineStr">
        <is>
          <t>Monto</t>
        </is>
      </c>
      <c r="E9" s="359" t="n"/>
      <c r="F9" s="360" t="n"/>
      <c r="G9" s="361" t="inlineStr">
        <is>
          <t>Ingreso del Mes</t>
        </is>
      </c>
      <c r="H9" s="256" t="n"/>
      <c r="I9" s="353" t="n"/>
      <c r="J9" s="362" t="inlineStr">
        <is>
          <t>Monto</t>
        </is>
      </c>
      <c r="K9" s="301" t="n"/>
      <c r="L9" s="301" t="n"/>
    </row>
    <row r="10" ht="15" customHeight="1" s="221">
      <c r="A10" s="363" t="inlineStr">
        <is>
          <t>Salario Mensual</t>
        </is>
      </c>
      <c r="B10" s="364" t="n"/>
      <c r="C10" s="365" t="n"/>
      <c r="D10" s="366">
        <f>SUMIFS('Ing-Egr Mayo 2026'!E4:E103,'Ing-Egr Mayo 2026'!B4:B103,"Ingreso Marco",'Ing-Egr Mayo 2026'!C4:C103,A10)</f>
        <v/>
      </c>
      <c r="E10" s="359" t="n"/>
      <c r="F10" s="360" t="n"/>
      <c r="G10" s="367" t="inlineStr">
        <is>
          <t>(Suma desde pestaña Ing-Egr Mayo)</t>
        </is>
      </c>
      <c r="H10" s="256" t="n"/>
      <c r="I10" s="353" t="n"/>
      <c r="J10" s="368">
        <f>SUMIF('Ing-Egr Mayo 2026'!B4:B103,"Ingreso NT",'Ing-Egr Mayo 2026'!E4:E103)</f>
        <v/>
      </c>
      <c r="K10" s="301" t="n"/>
      <c r="L10" s="301" t="n"/>
    </row>
    <row r="11" ht="15" customHeight="1" s="221">
      <c r="A11" s="369" t="inlineStr">
        <is>
          <t>Vacaciones</t>
        </is>
      </c>
      <c r="B11" s="370" t="n"/>
      <c r="C11" s="371" t="n"/>
      <c r="D11" s="366">
        <f>SUMIFS('Ing-Egr Mayo 2026'!E4:E103,'Ing-Egr Mayo 2026'!B4:B103,"Ingreso Marco",'Ing-Egr Mayo 2026'!C4:C103,A11)</f>
        <v/>
      </c>
      <c r="E11" s="359" t="n"/>
      <c r="F11" s="360" t="n"/>
      <c r="G11" s="359" t="n"/>
      <c r="H11" s="301" t="n"/>
      <c r="I11" s="301" t="n"/>
      <c r="J11" s="301" t="n"/>
      <c r="K11" s="301" t="n"/>
      <c r="L11" s="301" t="n"/>
    </row>
    <row r="12" ht="15" customHeight="1" s="221">
      <c r="A12" s="363" t="inlineStr">
        <is>
          <t>Aguinaldo</t>
        </is>
      </c>
      <c r="B12" s="364" t="n"/>
      <c r="C12" s="365" t="n"/>
      <c r="D12" s="366">
        <f>SUMIFS('Ing-Egr Mayo 2026'!E4:E103,'Ing-Egr Mayo 2026'!B4:B103,"Ingreso Marco",'Ing-Egr Mayo 2026'!C4:C103,A12)</f>
        <v/>
      </c>
      <c r="E12" s="359" t="n"/>
      <c r="F12" s="360" t="n"/>
      <c r="G12" s="372" t="inlineStr">
        <is>
          <t>═══ TOTAL INGRESOS NT ═══</t>
        </is>
      </c>
      <c r="H12" s="256" t="n"/>
      <c r="I12" s="353" t="n"/>
      <c r="J12" s="373">
        <f>J10</f>
        <v/>
      </c>
      <c r="K12" s="301" t="n"/>
      <c r="L12" s="301" t="n"/>
    </row>
    <row r="13" ht="15" customHeight="1" s="221">
      <c r="A13" s="369" t="inlineStr">
        <is>
          <t>Viático</t>
        </is>
      </c>
      <c r="B13" s="370" t="n"/>
      <c r="C13" s="371" t="n"/>
      <c r="D13" s="366">
        <f>SUMIFS('Ing-Egr Mayo 2026'!E4:E103,'Ing-Egr Mayo 2026'!B4:B103,"Ingreso Marco",'Ing-Egr Mayo 2026'!C4:C103,A13)</f>
        <v/>
      </c>
      <c r="E13" s="359" t="n"/>
      <c r="F13" s="360" t="n"/>
      <c r="G13" s="359" t="n"/>
      <c r="H13" s="301" t="n"/>
      <c r="I13" s="301" t="n"/>
      <c r="J13" s="301" t="n"/>
      <c r="K13" s="301" t="n"/>
      <c r="L13" s="301" t="n"/>
    </row>
    <row r="14" ht="15" customHeight="1" s="221">
      <c r="A14" s="363" t="inlineStr">
        <is>
          <t>Animador Bíblico</t>
        </is>
      </c>
      <c r="B14" s="364" t="n"/>
      <c r="C14" s="365" t="n"/>
      <c r="D14" s="366">
        <f>SUMIFS('Ing-Egr Mayo 2026'!E4:E103,'Ing-Egr Mayo 2026'!B4:B103,"Ingreso Marco",'Ing-Egr Mayo 2026'!C4:C103,A14)</f>
        <v/>
      </c>
      <c r="E14" s="359" t="n"/>
      <c r="F14" s="360" t="n"/>
      <c r="G14" s="359" t="n"/>
      <c r="H14" s="301" t="n"/>
      <c r="I14" s="301" t="n"/>
      <c r="J14" s="301" t="n"/>
      <c r="K14" s="301" t="n"/>
      <c r="L14" s="301" t="n"/>
    </row>
    <row r="15" ht="15" customHeight="1" s="221">
      <c r="A15" s="369" t="inlineStr">
        <is>
          <t>Otros Ocasionales</t>
        </is>
      </c>
      <c r="B15" s="370" t="n"/>
      <c r="C15" s="371" t="n"/>
      <c r="D15" s="366">
        <f>SUMIFS('Ing-Egr Mayo 2026'!E4:E103,'Ing-Egr Mayo 2026'!B4:B103,"Ingreso Marco",'Ing-Egr Mayo 2026'!C4:C103,A15)</f>
        <v/>
      </c>
      <c r="E15" s="359" t="n"/>
      <c r="F15" s="360" t="n"/>
      <c r="G15" s="359" t="n"/>
      <c r="H15" s="301" t="n"/>
      <c r="I15" s="374">
        <f>J12</f>
        <v/>
      </c>
      <c r="J15" s="301" t="n"/>
      <c r="K15" s="301" t="n"/>
      <c r="L15" s="301" t="n"/>
    </row>
    <row r="16" ht="15" customHeight="1" s="221">
      <c r="A16" s="375" t="inlineStr">
        <is>
          <t>TOTAL MARCO</t>
        </is>
      </c>
      <c r="B16" s="360" t="n"/>
      <c r="C16" s="359" t="n"/>
      <c r="D16" s="376">
        <f>SUM(D10:D15)</f>
        <v/>
      </c>
      <c r="E16" s="359" t="n"/>
      <c r="F16" s="360" t="n"/>
      <c r="G16" s="359" t="n"/>
      <c r="H16" s="301" t="n"/>
      <c r="I16" s="301" t="n"/>
      <c r="J16" s="301" t="n"/>
      <c r="K16" s="301" t="n"/>
      <c r="L16" s="301" t="n"/>
    </row>
    <row r="17" ht="15" customHeight="1" s="221">
      <c r="A17" s="377" t="inlineStr">
        <is>
          <t>CLARA</t>
        </is>
      </c>
      <c r="B17" s="353" t="n"/>
      <c r="C17" s="378" t="inlineStr">
        <is>
          <t>Fecha</t>
        </is>
      </c>
      <c r="D17" s="379" t="inlineStr">
        <is>
          <t>Monto</t>
        </is>
      </c>
      <c r="E17" s="359" t="n"/>
      <c r="F17" s="360" t="n"/>
      <c r="G17" s="359" t="n"/>
      <c r="H17" s="301" t="n"/>
      <c r="I17" s="301" t="n"/>
      <c r="J17" s="301" t="n"/>
      <c r="K17" s="301" t="n"/>
      <c r="L17" s="301" t="n"/>
    </row>
    <row r="18" ht="15" customHeight="1" s="221">
      <c r="A18" s="380" t="inlineStr">
        <is>
          <t>Honorarios Diarios</t>
        </is>
      </c>
      <c r="B18" s="381" t="n"/>
      <c r="C18" s="382" t="n"/>
      <c r="D18" s="383">
        <f>SUMIF('Ing-Egr Mayo 2026'!B4:B103,"Ingreso Clara",'Ing-Egr Mayo 2026'!E4:E103)</f>
        <v/>
      </c>
      <c r="E18" s="359" t="n"/>
      <c r="F18" s="360" t="n"/>
      <c r="G18" s="359" t="n"/>
      <c r="H18" s="301" t="n"/>
      <c r="I18" s="301" t="n"/>
      <c r="J18" s="301" t="n"/>
      <c r="K18" s="301" t="n"/>
      <c r="L18" s="301" t="n"/>
    </row>
    <row r="19" ht="15" customHeight="1" s="221">
      <c r="A19" s="384" t="inlineStr">
        <is>
          <t>TOTAL CLARA</t>
        </is>
      </c>
      <c r="B19" s="301" t="n"/>
      <c r="C19" s="301" t="n"/>
      <c r="D19" s="385">
        <f>D18</f>
        <v/>
      </c>
      <c r="E19" s="359" t="n"/>
      <c r="F19" s="360" t="n"/>
      <c r="G19" s="359" t="n"/>
      <c r="H19" s="301" t="n"/>
      <c r="I19" s="301" t="n"/>
      <c r="J19" s="301" t="n"/>
      <c r="K19" s="301" t="n"/>
      <c r="L19" s="301" t="n"/>
    </row>
    <row r="20" ht="15" customHeight="1" s="221">
      <c r="A20" s="386" t="inlineStr">
        <is>
          <t>DESDE NEUROTEA</t>
        </is>
      </c>
      <c r="D20" s="387" t="inlineStr">
        <is>
          <t>Monto</t>
        </is>
      </c>
      <c r="E20" s="359" t="n"/>
      <c r="F20" s="360" t="n"/>
      <c r="G20" s="359" t="n"/>
      <c r="H20" s="301" t="n"/>
      <c r="I20" s="301" t="n"/>
      <c r="J20" s="301" t="n"/>
      <c r="K20" s="301" t="n"/>
      <c r="L20" s="301" t="n"/>
    </row>
    <row r="21" ht="15" customHeight="1" s="221">
      <c r="A21" s="388" t="inlineStr">
        <is>
          <t>Salario Admin Marco</t>
        </is>
      </c>
      <c r="B21" s="388" t="n"/>
      <c r="C21" s="388" t="n"/>
      <c r="D21" s="389" t="n">
        <v>0</v>
      </c>
      <c r="E21" s="359" t="n"/>
      <c r="F21" s="360" t="n"/>
      <c r="G21" s="359" t="n"/>
      <c r="H21" s="301" t="n"/>
      <c r="I21" s="301" t="n"/>
      <c r="J21" s="301" t="n"/>
      <c r="K21" s="301" t="n"/>
      <c r="L21" s="301" t="n"/>
    </row>
    <row r="22" ht="15" customHeight="1" s="221">
      <c r="A22" s="390" t="inlineStr">
        <is>
          <t>Ganancia NT → Familia</t>
        </is>
      </c>
      <c r="B22" s="390" t="n"/>
      <c r="C22" s="390" t="n"/>
      <c r="D22" s="391" t="n">
        <v>0</v>
      </c>
      <c r="E22" s="359" t="n"/>
      <c r="F22" s="360" t="n"/>
      <c r="G22" s="359" t="n"/>
      <c r="H22" s="301" t="n"/>
      <c r="I22" s="301" t="n"/>
      <c r="J22" s="301" t="n"/>
      <c r="K22" s="301" t="n"/>
      <c r="L22" s="301" t="n"/>
    </row>
    <row r="23" ht="15" customHeight="1" s="221">
      <c r="A23" s="388" t="inlineStr">
        <is>
          <t>Préstamo NT (automático)</t>
        </is>
      </c>
      <c r="B23" s="388" t="n"/>
      <c r="C23" s="388" t="n"/>
      <c r="D23" s="389">
        <f>D6</f>
        <v/>
      </c>
      <c r="E23" s="359" t="n"/>
      <c r="F23" s="360" t="n"/>
      <c r="G23" s="359" t="n"/>
      <c r="H23" s="301" t="n"/>
      <c r="I23" s="301" t="n"/>
      <c r="J23" s="301" t="n"/>
      <c r="K23" s="301" t="n"/>
      <c r="L23" s="301" t="n"/>
    </row>
    <row r="24" ht="15" customHeight="1" s="221">
      <c r="A24" s="392" t="inlineStr">
        <is>
          <t>TOTAL DESDE NT</t>
        </is>
      </c>
      <c r="B24" s="301" t="n"/>
      <c r="C24" s="301" t="n"/>
      <c r="D24" s="393">
        <f>SUM(D21:D23)</f>
        <v/>
      </c>
      <c r="E24" s="359" t="n"/>
      <c r="F24" s="360" t="n"/>
      <c r="G24" s="359" t="n"/>
      <c r="H24" s="301" t="n"/>
      <c r="I24" s="301" t="n"/>
      <c r="J24" s="301" t="n"/>
      <c r="K24" s="301" t="n"/>
      <c r="L24" s="301" t="n"/>
    </row>
    <row r="25" ht="15" customHeight="1" s="221">
      <c r="A25" s="301" t="n"/>
      <c r="B25" s="301" t="n"/>
      <c r="C25" s="301" t="n"/>
      <c r="D25" s="360" t="n"/>
      <c r="E25" s="359" t="n"/>
      <c r="F25" s="360" t="n"/>
      <c r="G25" s="359" t="n"/>
      <c r="H25" s="301" t="n"/>
      <c r="I25" s="301" t="n"/>
      <c r="J25" s="301" t="n"/>
      <c r="K25" s="301" t="n"/>
      <c r="L25" s="301" t="n"/>
    </row>
    <row r="26" ht="15" customHeight="1" s="221">
      <c r="A26" s="223" t="inlineStr">
        <is>
          <t>═══ TOTAL INGRESOS FAMILIA ═══</t>
        </is>
      </c>
      <c r="D26" s="394">
        <f>D16+D19+D24</f>
        <v/>
      </c>
      <c r="E26" s="359" t="n"/>
      <c r="F26" s="360" t="n"/>
      <c r="G26" s="359" t="n"/>
      <c r="H26" s="301" t="n"/>
      <c r="I26" s="301" t="n"/>
      <c r="J26" s="301" t="n"/>
      <c r="K26" s="301" t="n"/>
      <c r="L26" s="301" t="n"/>
    </row>
    <row r="27" ht="15" customHeight="1" s="221">
      <c r="A27" s="301" t="n"/>
      <c r="B27" s="301" t="n"/>
      <c r="C27" s="301" t="n"/>
      <c r="D27" s="360" t="n"/>
      <c r="E27" s="359" t="n"/>
      <c r="F27" s="360" t="n"/>
      <c r="G27" s="359" t="n"/>
      <c r="H27" s="301" t="n"/>
      <c r="I27" s="301" t="n"/>
      <c r="J27" s="301" t="n"/>
      <c r="K27" s="301" t="n"/>
      <c r="L27" s="301" t="n"/>
    </row>
    <row r="28" ht="15.75" customHeight="1" s="221">
      <c r="A28" s="395" t="inlineStr">
        <is>
          <t>📉 GASTOS FAMILIARES</t>
        </is>
      </c>
      <c r="E28" s="328" t="n"/>
      <c r="F28" s="301" t="n"/>
      <c r="G28" s="396" t="inlineStr">
        <is>
          <t>📉 GASTOS NEUROTEA</t>
        </is>
      </c>
      <c r="K28" s="301" t="n"/>
      <c r="L28" s="301" t="n"/>
    </row>
    <row r="29" ht="15" customHeight="1" s="221">
      <c r="A29" s="397" t="inlineStr">
        <is>
          <t>Detalle</t>
        </is>
      </c>
      <c r="B29" s="397" t="inlineStr">
        <is>
          <t>Estado</t>
        </is>
      </c>
      <c r="C29" s="397" t="inlineStr">
        <is>
          <t>Monto</t>
        </is>
      </c>
      <c r="D29" s="397" t="inlineStr">
        <is>
          <t>Venc.</t>
        </is>
      </c>
      <c r="E29" s="301" t="n"/>
      <c r="F29" s="301" t="n"/>
      <c r="G29" s="398" t="inlineStr">
        <is>
          <t>Detalle</t>
        </is>
      </c>
      <c r="H29" s="398" t="inlineStr">
        <is>
          <t>Estado</t>
        </is>
      </c>
      <c r="I29" s="398" t="inlineStr">
        <is>
          <t>Monto</t>
        </is>
      </c>
      <c r="J29" s="398" t="inlineStr">
        <is>
          <t>Venc.</t>
        </is>
      </c>
      <c r="K29" s="301" t="n"/>
      <c r="L29" s="301" t="n"/>
    </row>
    <row r="30" ht="15.75" customHeight="1" s="221">
      <c r="A30" s="399" t="inlineStr">
        <is>
          <t>► GASTOS FIJOS ✏️</t>
        </is>
      </c>
      <c r="E30" s="301" t="n"/>
      <c r="F30" s="301" t="n"/>
      <c r="G30" s="400" t="inlineStr">
        <is>
          <t>► GASTOS FIJOS ✏️</t>
        </is>
      </c>
      <c r="K30" s="301" t="n"/>
      <c r="L30" s="301" t="n"/>
    </row>
    <row r="31" ht="15" customHeight="1" s="221">
      <c r="A31" s="401" t="inlineStr">
        <is>
          <t>Salario Lili Doméstico</t>
        </is>
      </c>
      <c r="B31" s="401" t="inlineStr">
        <is>
          <t>Ninguno</t>
        </is>
      </c>
      <c r="C31" s="402" t="n"/>
      <c r="D31" s="458" t="n"/>
      <c r="E31" s="301" t="n"/>
      <c r="F31" s="301" t="n"/>
      <c r="G31" s="403" t="inlineStr">
        <is>
          <t>Alquiler 1 (Principal)</t>
        </is>
      </c>
      <c r="H31" s="403" t="inlineStr">
        <is>
          <t>Ninguno</t>
        </is>
      </c>
      <c r="I31" s="404" t="n">
        <v>0</v>
      </c>
      <c r="J31" s="459" t="n"/>
      <c r="K31" s="301" t="n"/>
      <c r="L31" s="301" t="n"/>
    </row>
    <row r="32" ht="15" customHeight="1" s="221">
      <c r="A32" s="405" t="inlineStr">
        <is>
          <t>Salario Laura Doméstico</t>
        </is>
      </c>
      <c r="B32" s="405" t="inlineStr">
        <is>
          <t>Ninguno</t>
        </is>
      </c>
      <c r="C32" s="406" t="n"/>
      <c r="D32" s="460" t="n"/>
      <c r="E32" s="301" t="n"/>
      <c r="F32" s="301" t="n"/>
      <c r="G32" s="407" t="inlineStr">
        <is>
          <t>Alquiler 2 (Secundario)</t>
        </is>
      </c>
      <c r="H32" s="407" t="inlineStr">
        <is>
          <t>Ninguno</t>
        </is>
      </c>
      <c r="I32" s="408" t="n">
        <v>0</v>
      </c>
      <c r="J32" s="461" t="n"/>
      <c r="K32" s="301" t="n"/>
      <c r="L32" s="301" t="n"/>
    </row>
    <row r="33" ht="15" customHeight="1" s="221">
      <c r="A33" s="401" t="inlineStr">
        <is>
          <t>Escuela Fabián y Brenda</t>
        </is>
      </c>
      <c r="B33" s="401" t="inlineStr">
        <is>
          <t>Ninguno</t>
        </is>
      </c>
      <c r="C33" s="402" t="n"/>
      <c r="D33" s="458" t="n"/>
      <c r="E33" s="301" t="n"/>
      <c r="F33" s="301" t="n"/>
      <c r="G33" s="403" t="inlineStr">
        <is>
          <t>Limpieza NeuroTEA</t>
        </is>
      </c>
      <c r="H33" s="403" t="inlineStr">
        <is>
          <t>Ninguno</t>
        </is>
      </c>
      <c r="I33" s="404" t="n">
        <v>0</v>
      </c>
      <c r="J33" s="459" t="n"/>
      <c r="K33" s="301" t="n"/>
      <c r="L33" s="301" t="n"/>
    </row>
    <row r="34" ht="15" customHeight="1" s="221">
      <c r="A34" s="405" t="inlineStr">
        <is>
          <t>Robótica Niños</t>
        </is>
      </c>
      <c r="B34" s="405" t="inlineStr">
        <is>
          <t>Ninguno</t>
        </is>
      </c>
      <c r="C34" s="406" t="n"/>
      <c r="D34" s="460" t="n"/>
      <c r="E34" s="301" t="n"/>
      <c r="F34" s="301" t="n"/>
      <c r="G34" s="400" t="inlineStr">
        <is>
          <t>► SUELDOS Y HONORARIOS ✏️</t>
        </is>
      </c>
      <c r="K34" s="301" t="n"/>
      <c r="L34" s="301" t="n"/>
    </row>
    <row r="35" ht="15" customHeight="1" s="221">
      <c r="A35" s="410" t="inlineStr">
        <is>
          <t>ANDE Casa</t>
        </is>
      </c>
      <c r="B35" s="410" t="inlineStr">
        <is>
          <t>Ninguno</t>
        </is>
      </c>
      <c r="C35" s="411" t="n"/>
      <c r="D35" s="463" t="n"/>
      <c r="E35" s="301" t="n"/>
      <c r="F35" s="301" t="n"/>
      <c r="G35" s="403" t="inlineStr">
        <is>
          <t>Sueldo Aracely</t>
        </is>
      </c>
      <c r="H35" s="403" t="inlineStr">
        <is>
          <t>Ninguno</t>
        </is>
      </c>
      <c r="I35" s="404" t="n">
        <v>0</v>
      </c>
      <c r="J35" s="459" t="n"/>
      <c r="K35" s="301" t="n"/>
      <c r="L35" s="301" t="n"/>
    </row>
    <row r="36" ht="15" customHeight="1" s="221">
      <c r="A36" s="405" t="inlineStr">
        <is>
          <t>Expensa Casa</t>
        </is>
      </c>
      <c r="B36" s="405" t="inlineStr">
        <is>
          <t>Ninguno</t>
        </is>
      </c>
      <c r="C36" s="406" t="n"/>
      <c r="D36" s="460" t="n"/>
      <c r="E36" s="301" t="n"/>
      <c r="F36" s="301" t="n"/>
      <c r="G36" s="407" t="inlineStr">
        <is>
          <t>Sueldo Fátima</t>
        </is>
      </c>
      <c r="H36" s="407" t="inlineStr">
        <is>
          <t>Ninguno</t>
        </is>
      </c>
      <c r="I36" s="408" t="n">
        <v>0</v>
      </c>
      <c r="J36" s="461" t="n"/>
      <c r="K36" s="301" t="n"/>
      <c r="L36" s="301" t="n"/>
    </row>
    <row r="37" ht="15" customHeight="1" s="221">
      <c r="A37" s="410" t="inlineStr">
        <is>
          <t>Cajubi Marco</t>
        </is>
      </c>
      <c r="B37" s="410" t="inlineStr">
        <is>
          <t>Ninguno</t>
        </is>
      </c>
      <c r="C37" s="411" t="n"/>
      <c r="D37" s="463" t="n"/>
      <c r="E37" s="301" t="n"/>
      <c r="F37" s="301" t="n"/>
      <c r="G37" s="403" t="inlineStr">
        <is>
          <t>Honorario Contador</t>
        </is>
      </c>
      <c r="H37" s="403" t="inlineStr">
        <is>
          <t>Ninguno</t>
        </is>
      </c>
      <c r="I37" s="404" t="n">
        <v>0</v>
      </c>
      <c r="J37" s="459" t="n"/>
      <c r="K37" s="301" t="n"/>
      <c r="L37" s="301" t="n"/>
    </row>
    <row r="38" ht="15" customHeight="1" s="221">
      <c r="A38" s="405" t="inlineStr">
        <is>
          <t>Mutual Marco</t>
        </is>
      </c>
      <c r="B38" s="405" t="inlineStr">
        <is>
          <t>Ninguno</t>
        </is>
      </c>
      <c r="C38" s="406" t="n"/>
      <c r="D38" s="460" t="n"/>
      <c r="E38" s="301" t="n"/>
      <c r="F38" s="301" t="n"/>
      <c r="G38" s="407" t="inlineStr">
        <is>
          <t>Salario Administrador</t>
        </is>
      </c>
      <c r="H38" s="407" t="inlineStr">
        <is>
          <t>Ninguno</t>
        </is>
      </c>
      <c r="I38" s="408" t="n">
        <v>0</v>
      </c>
      <c r="J38" s="461" t="n"/>
      <c r="K38" s="301" t="n"/>
      <c r="L38" s="301" t="n"/>
    </row>
    <row r="39" ht="15" customHeight="1" s="221">
      <c r="A39" s="410" t="inlineStr">
        <is>
          <t>Ña Luisa</t>
        </is>
      </c>
      <c r="B39" s="410" t="inlineStr">
        <is>
          <t>Ninguno</t>
        </is>
      </c>
      <c r="C39" s="411" t="n"/>
      <c r="D39" s="463" t="n"/>
      <c r="E39" s="301" t="n"/>
      <c r="F39" s="301" t="n"/>
      <c r="G39" s="403" t="inlineStr">
        <is>
          <t>Honorario Mant. Sistema</t>
        </is>
      </c>
      <c r="H39" s="403" t="inlineStr">
        <is>
          <t>Ninguno</t>
        </is>
      </c>
      <c r="I39" s="404" t="n">
        <v>0</v>
      </c>
      <c r="J39" s="459" t="n"/>
      <c r="K39" s="301" t="n"/>
      <c r="L39" s="301" t="n"/>
    </row>
    <row r="40" ht="15" customHeight="1" s="221">
      <c r="A40" s="405" t="inlineStr">
        <is>
          <t>Seguro Médico Papá y Mamá</t>
        </is>
      </c>
      <c r="B40" s="405" t="inlineStr">
        <is>
          <t>Ninguno</t>
        </is>
      </c>
      <c r="C40" s="406" t="n"/>
      <c r="D40" s="460" t="n"/>
      <c r="E40" s="301" t="n"/>
      <c r="F40" s="301" t="n"/>
      <c r="G40" s="400" t="inlineStr">
        <is>
          <t>► TELEFONÍA E INTERNET ✏️</t>
        </is>
      </c>
      <c r="K40" s="301" t="n"/>
      <c r="L40" s="301" t="n"/>
    </row>
    <row r="41" ht="15" customHeight="1" s="221">
      <c r="A41" s="413" t="inlineStr">
        <is>
          <t>► CUOTAS Y PRÉSTAMOS ✏️</t>
        </is>
      </c>
      <c r="B41" s="256" t="n"/>
      <c r="C41" s="256" t="n"/>
      <c r="D41" s="353" t="n"/>
      <c r="E41" s="301" t="n"/>
      <c r="F41" s="301" t="n"/>
      <c r="G41" s="403" t="inlineStr">
        <is>
          <t>Celular Tigo NeuroTEA</t>
        </is>
      </c>
      <c r="H41" s="403" t="inlineStr">
        <is>
          <t>Ninguno</t>
        </is>
      </c>
      <c r="I41" s="404" t="n">
        <v>0</v>
      </c>
      <c r="J41" s="459" t="n"/>
      <c r="K41" s="301" t="n"/>
      <c r="L41" s="301" t="n"/>
    </row>
    <row r="42" ht="15" customHeight="1" s="221">
      <c r="A42" s="410" t="inlineStr">
        <is>
          <t>Auto Laura Cuota</t>
        </is>
      </c>
      <c r="B42" s="410" t="inlineStr">
        <is>
          <t>Ninguno</t>
        </is>
      </c>
      <c r="C42" s="411" t="n"/>
      <c r="D42" s="463" t="n"/>
      <c r="E42" s="301" t="n"/>
      <c r="F42" s="301" t="n"/>
      <c r="G42" s="407" t="inlineStr">
        <is>
          <t>Celular Tigo Sistema</t>
        </is>
      </c>
      <c r="H42" s="407" t="inlineStr">
        <is>
          <t>Ninguno</t>
        </is>
      </c>
      <c r="I42" s="408" t="n">
        <v>0</v>
      </c>
      <c r="J42" s="461" t="n"/>
      <c r="K42" s="301" t="n"/>
      <c r="L42" s="301" t="n"/>
    </row>
    <row r="43" ht="15" customHeight="1" s="221">
      <c r="A43" s="405" t="inlineStr">
        <is>
          <t>Coop. Universitaria Clara</t>
        </is>
      </c>
      <c r="B43" s="405" t="inlineStr">
        <is>
          <t>Ninguno</t>
        </is>
      </c>
      <c r="C43" s="406" t="n"/>
      <c r="D43" s="460" t="n"/>
      <c r="E43" s="301" t="n"/>
      <c r="F43" s="301" t="n"/>
      <c r="G43" s="403" t="inlineStr">
        <is>
          <t>WhatsFlow</t>
        </is>
      </c>
      <c r="H43" s="403" t="inlineStr">
        <is>
          <t>Ninguno</t>
        </is>
      </c>
      <c r="I43" s="404" t="n">
        <v>0</v>
      </c>
      <c r="J43" s="459" t="n"/>
      <c r="K43" s="301" t="n"/>
      <c r="L43" s="301" t="n"/>
    </row>
    <row r="44" ht="15" customHeight="1" s="221">
      <c r="A44" s="410" t="inlineStr">
        <is>
          <t>Coomecipar Clara</t>
        </is>
      </c>
      <c r="B44" s="410" t="inlineStr">
        <is>
          <t>Ninguno</t>
        </is>
      </c>
      <c r="C44" s="411" t="n"/>
      <c r="D44" s="463" t="n"/>
      <c r="E44" s="301" t="n"/>
      <c r="F44" s="301" t="n"/>
      <c r="G44" s="407" t="inlineStr">
        <is>
          <t>Internet NeuroTEA</t>
        </is>
      </c>
      <c r="H44" s="407" t="inlineStr">
        <is>
          <t>Ninguno</t>
        </is>
      </c>
      <c r="I44" s="408" t="n">
        <v>0</v>
      </c>
      <c r="J44" s="461" t="n"/>
      <c r="K44" s="301" t="n"/>
      <c r="L44" s="301" t="n"/>
    </row>
    <row r="45" ht="15" customHeight="1" s="221">
      <c r="A45" s="414" t="inlineStr">
        <is>
          <t>Tarjeta Cred. Coomecipar</t>
        </is>
      </c>
      <c r="B45" s="414" t="inlineStr">
        <is>
          <t>Ninguno</t>
        </is>
      </c>
      <c r="C45" s="415" t="n"/>
      <c r="D45" s="465" t="n"/>
      <c r="E45" s="301" t="n"/>
      <c r="F45" s="301" t="n"/>
      <c r="G45" s="400" t="inlineStr">
        <is>
          <t>► IMPUESTOS ✏️</t>
        </is>
      </c>
      <c r="K45" s="301" t="n"/>
      <c r="L45" s="301" t="n"/>
    </row>
    <row r="46" ht="15" customHeight="1" s="221">
      <c r="A46" s="401" t="inlineStr">
        <is>
          <t>Solar Préstamo 1</t>
        </is>
      </c>
      <c r="B46" s="401" t="inlineStr">
        <is>
          <t>Ninguno</t>
        </is>
      </c>
      <c r="C46" s="402" t="n"/>
      <c r="D46" s="458" t="n"/>
      <c r="E46" s="301" t="n"/>
      <c r="F46" s="301" t="n"/>
      <c r="G46" s="403" t="inlineStr">
        <is>
          <t>IVA</t>
        </is>
      </c>
      <c r="H46" s="403" t="inlineStr">
        <is>
          <t>Ninguno</t>
        </is>
      </c>
      <c r="I46" s="404" t="n">
        <v>0</v>
      </c>
      <c r="J46" s="459" t="n"/>
      <c r="K46" s="301" t="n"/>
      <c r="L46" s="301" t="n"/>
    </row>
    <row r="47" ht="15" customHeight="1" s="221">
      <c r="A47" s="405" t="inlineStr">
        <is>
          <t>Solar Préstamo 2</t>
        </is>
      </c>
      <c r="B47" s="405" t="inlineStr">
        <is>
          <t>Ninguno</t>
        </is>
      </c>
      <c r="C47" s="406" t="n"/>
      <c r="D47" s="460" t="n"/>
      <c r="E47" s="301" t="n"/>
      <c r="F47" s="301" t="n"/>
      <c r="G47" s="400" t="inlineStr">
        <is>
          <t>► EVENTOS NT ✏️</t>
        </is>
      </c>
      <c r="K47" s="301" t="n"/>
      <c r="L47" s="301" t="n"/>
    </row>
    <row r="48" ht="15" customHeight="1" s="221">
      <c r="A48" s="410" t="inlineStr">
        <is>
          <t>Préstamo Lizzi Sueldos</t>
        </is>
      </c>
      <c r="B48" s="410" t="inlineStr">
        <is>
          <t>Ninguno</t>
        </is>
      </c>
      <c r="C48" s="411" t="n"/>
      <c r="D48" s="463" t="n"/>
      <c r="E48" s="301" t="n"/>
      <c r="F48" s="301" t="n"/>
      <c r="G48" s="403" t="inlineStr">
        <is>
          <t>Día del Niño NT</t>
        </is>
      </c>
      <c r="H48" s="403" t="inlineStr">
        <is>
          <t>Ninguno</t>
        </is>
      </c>
      <c r="I48" s="404" t="n">
        <v>0</v>
      </c>
      <c r="J48" s="459" t="n"/>
      <c r="K48" s="301" t="n"/>
      <c r="L48" s="301" t="n"/>
    </row>
    <row r="49" ht="15" customHeight="1" s="221">
      <c r="A49" s="405" t="inlineStr">
        <is>
          <t>Show Congelador</t>
        </is>
      </c>
      <c r="B49" s="405" t="inlineStr">
        <is>
          <t>Ninguno</t>
        </is>
      </c>
      <c r="C49" s="406" t="n"/>
      <c r="D49" s="460" t="n"/>
      <c r="E49" s="301" t="n"/>
      <c r="F49" s="301" t="n"/>
      <c r="G49" s="407" t="inlineStr">
        <is>
          <t>San Juan NT</t>
        </is>
      </c>
      <c r="H49" s="407" t="inlineStr">
        <is>
          <t>Ninguno</t>
        </is>
      </c>
      <c r="I49" s="408" t="n">
        <v>0</v>
      </c>
      <c r="J49" s="461" t="n"/>
      <c r="K49" s="301" t="n"/>
      <c r="L49" s="301" t="n"/>
    </row>
    <row r="50" ht="15" customHeight="1" s="221">
      <c r="A50" s="410" t="inlineStr">
        <is>
          <t>Olier Heladera</t>
        </is>
      </c>
      <c r="B50" s="410" t="inlineStr">
        <is>
          <t>Ninguno</t>
        </is>
      </c>
      <c r="C50" s="411" t="n"/>
      <c r="D50" s="463" t="n"/>
      <c r="E50" s="301" t="n"/>
      <c r="F50" s="301" t="n"/>
      <c r="G50" s="403" t="inlineStr">
        <is>
          <t>Día del Autismo NT</t>
        </is>
      </c>
      <c r="H50" s="403" t="inlineStr">
        <is>
          <t>Ninguno</t>
        </is>
      </c>
      <c r="I50" s="404" t="n">
        <v>0</v>
      </c>
      <c r="J50" s="459" t="n"/>
      <c r="K50" s="301" t="n"/>
      <c r="L50" s="301" t="n"/>
    </row>
    <row r="51" ht="15" customHeight="1" s="221">
      <c r="A51" s="413" t="inlineStr">
        <is>
          <t>► SUSCRIPCIONES E INTERNET ✏️</t>
        </is>
      </c>
      <c r="B51" s="256" t="n"/>
      <c r="C51" s="256" t="n"/>
      <c r="D51" s="353" t="n"/>
      <c r="E51" s="301" t="n"/>
      <c r="F51" s="301" t="n"/>
      <c r="G51" s="407" t="inlineStr">
        <is>
          <t>Clausura Padres NT</t>
        </is>
      </c>
      <c r="H51" s="407" t="inlineStr">
        <is>
          <t>Ninguno</t>
        </is>
      </c>
      <c r="I51" s="408" t="n">
        <v>0</v>
      </c>
      <c r="J51" s="461" t="n"/>
      <c r="K51" s="301" t="n"/>
      <c r="L51" s="301" t="n"/>
    </row>
    <row r="52" ht="15" customHeight="1" s="221">
      <c r="A52" s="410" t="inlineStr">
        <is>
          <t>Giganet</t>
        </is>
      </c>
      <c r="B52" s="410" t="inlineStr">
        <is>
          <t>Ninguno</t>
        </is>
      </c>
      <c r="C52" s="411" t="n"/>
      <c r="D52" s="463" t="n"/>
      <c r="E52" s="301" t="n"/>
      <c r="F52" s="301" t="n"/>
      <c r="G52" s="403" t="inlineStr">
        <is>
          <t>Navidad Papá Noel NT</t>
        </is>
      </c>
      <c r="H52" s="403" t="inlineStr">
        <is>
          <t>Ninguno</t>
        </is>
      </c>
      <c r="I52" s="404" t="n">
        <v>0</v>
      </c>
      <c r="J52" s="459" t="n"/>
      <c r="K52" s="301" t="n"/>
      <c r="L52" s="301" t="n"/>
    </row>
    <row r="53" ht="15" customHeight="1" s="221">
      <c r="A53" s="405" t="inlineStr">
        <is>
          <t>Tigo Internet/Celulares</t>
        </is>
      </c>
      <c r="B53" s="405" t="inlineStr">
        <is>
          <t>Ninguno</t>
        </is>
      </c>
      <c r="C53" s="406" t="n"/>
      <c r="D53" s="460" t="n"/>
      <c r="E53" s="301" t="n"/>
      <c r="F53" s="301" t="n"/>
      <c r="G53" s="407" t="inlineStr">
        <is>
          <t>Cena Fin de Año NT</t>
        </is>
      </c>
      <c r="H53" s="407" t="inlineStr">
        <is>
          <t>Ninguno</t>
        </is>
      </c>
      <c r="I53" s="408" t="n">
        <v>0</v>
      </c>
      <c r="J53" s="461" t="n"/>
      <c r="K53" s="301" t="n"/>
      <c r="L53" s="301" t="n"/>
    </row>
    <row r="54" ht="15" customHeight="1" s="221">
      <c r="A54" s="410" t="inlineStr">
        <is>
          <t>Tigo Familiar</t>
        </is>
      </c>
      <c r="B54" s="410" t="inlineStr">
        <is>
          <t>Ninguno</t>
        </is>
      </c>
      <c r="C54" s="411" t="n"/>
      <c r="D54" s="463" t="n"/>
      <c r="E54" s="301" t="n"/>
      <c r="F54" s="301" t="n"/>
      <c r="G54" s="400" t="inlineStr">
        <is>
          <t>► GASTOS VARIABLES NT 🔗</t>
        </is>
      </c>
      <c r="K54" s="301" t="n"/>
      <c r="L54" s="301" t="n"/>
    </row>
    <row r="55" ht="15" customHeight="1" s="221">
      <c r="A55" s="405" t="inlineStr">
        <is>
          <t>Google One</t>
        </is>
      </c>
      <c r="B55" s="405" t="inlineStr">
        <is>
          <t>Ninguno</t>
        </is>
      </c>
      <c r="C55" s="406" t="n"/>
      <c r="D55" s="460" t="n"/>
      <c r="E55" s="301" t="n"/>
      <c r="F55" s="301" t="n"/>
      <c r="G55" s="403" t="inlineStr">
        <is>
          <t>Insumos NT</t>
        </is>
      </c>
      <c r="H55" s="403" t="inlineStr">
        <is>
          <t>Ninguno</t>
        </is>
      </c>
      <c r="I55" s="404">
        <f>SUMIFS('Ing-Egr Mayo 2026'!F4:F103,'Ing-Egr Mayo 2026'!B4:B103,"Egreso NT",'Ing-Egr Mayo 2026'!C4:C103,G55)</f>
        <v/>
      </c>
      <c r="J55" s="459" t="n"/>
      <c r="K55" s="301" t="n"/>
      <c r="L55" s="301" t="n"/>
    </row>
    <row r="56" ht="15" customHeight="1" s="221">
      <c r="A56" s="410" t="inlineStr">
        <is>
          <t>ChatGPT</t>
        </is>
      </c>
      <c r="B56" s="410" t="inlineStr">
        <is>
          <t>Ninguno</t>
        </is>
      </c>
      <c r="C56" s="411" t="n"/>
      <c r="D56" s="463" t="n"/>
      <c r="E56" s="301" t="n"/>
      <c r="F56" s="301" t="n"/>
      <c r="G56" s="407" t="inlineStr">
        <is>
          <t>Papelería NT</t>
        </is>
      </c>
      <c r="H56" s="407" t="inlineStr">
        <is>
          <t>Ninguno</t>
        </is>
      </c>
      <c r="I56" s="408">
        <f>SUMIFS('Ing-Egr Mayo 2026'!F4:F103,'Ing-Egr Mayo 2026'!B4:B103,"Egreso NT",'Ing-Egr Mayo 2026'!C4:C103,G56)</f>
        <v/>
      </c>
      <c r="J56" s="461" t="n"/>
      <c r="K56" s="301" t="n"/>
      <c r="L56" s="301" t="n"/>
    </row>
    <row r="57" ht="15" customHeight="1" s="221">
      <c r="A57" s="414" t="inlineStr">
        <is>
          <t>Claude Marco</t>
        </is>
      </c>
      <c r="B57" s="414" t="inlineStr">
        <is>
          <t>Ninguno</t>
        </is>
      </c>
      <c r="C57" s="415" t="n"/>
      <c r="D57" s="465" t="n"/>
      <c r="E57" s="301" t="n"/>
      <c r="F57" s="301" t="n"/>
      <c r="G57" s="403" t="inlineStr">
        <is>
          <t>Mantenimiento NT</t>
        </is>
      </c>
      <c r="H57" s="403" t="inlineStr">
        <is>
          <t>Ninguno</t>
        </is>
      </c>
      <c r="I57" s="404">
        <f>SUMIFS('Ing-Egr Mayo 2026'!F4:F103,'Ing-Egr Mayo 2026'!B4:B103,"Egreso NT",'Ing-Egr Mayo 2026'!C4:C103,G57)</f>
        <v/>
      </c>
      <c r="J57" s="459" t="n"/>
      <c r="K57" s="301" t="n"/>
      <c r="L57" s="301" t="n"/>
    </row>
    <row r="58" ht="15" customHeight="1" s="221">
      <c r="A58" s="401" t="inlineStr">
        <is>
          <t>Claude Clara</t>
        </is>
      </c>
      <c r="B58" s="401" t="inlineStr">
        <is>
          <t>Ninguno</t>
        </is>
      </c>
      <c r="C58" s="402" t="n"/>
      <c r="D58" s="458" t="n"/>
      <c r="E58" s="301" t="n"/>
      <c r="F58" s="301" t="n"/>
      <c r="G58" s="407" t="inlineStr">
        <is>
          <t>Gastos Cursos NT</t>
        </is>
      </c>
      <c r="H58" s="407" t="inlineStr">
        <is>
          <t>Ninguno</t>
        </is>
      </c>
      <c r="I58" s="416">
        <f>SUMIFS('Ing-Egr Mayo 2026'!F4:F103,'Ing-Egr Mayo 2026'!B4:B103,"Egreso NT",'Ing-Egr Mayo 2026'!C4:C103,G58)</f>
        <v/>
      </c>
      <c r="J58" s="461" t="n"/>
      <c r="K58" s="301" t="n"/>
      <c r="L58" s="301" t="n"/>
    </row>
    <row r="59" ht="15" customHeight="1" s="221">
      <c r="A59" s="405" t="inlineStr">
        <is>
          <t>iLovePDF</t>
        </is>
      </c>
      <c r="B59" s="405" t="inlineStr">
        <is>
          <t>Ninguno</t>
        </is>
      </c>
      <c r="C59" s="406" t="n"/>
      <c r="D59" s="460" t="n"/>
      <c r="E59" s="301" t="n"/>
      <c r="F59" s="301" t="n"/>
      <c r="G59" s="403" t="inlineStr">
        <is>
          <t>Gastos Varios NT</t>
        </is>
      </c>
      <c r="H59" s="403" t="inlineStr">
        <is>
          <t>Ninguno</t>
        </is>
      </c>
      <c r="I59" s="417">
        <f>SUMIFS('Ing-Egr Mayo 2026'!F4:F103,'Ing-Egr Mayo 2026'!B4:B103,"Egreso NT",'Ing-Egr Mayo 2026'!C4:C103,G59)</f>
        <v/>
      </c>
      <c r="J59" s="459" t="n"/>
      <c r="K59" s="301" t="n"/>
      <c r="L59" s="301" t="n"/>
    </row>
    <row r="60" ht="15" customHeight="1" s="221">
      <c r="A60" s="410" t="inlineStr">
        <is>
          <t>Scribd</t>
        </is>
      </c>
      <c r="B60" s="410" t="inlineStr">
        <is>
          <t>Ninguno</t>
        </is>
      </c>
      <c r="C60" s="411" t="n"/>
      <c r="D60" s="463" t="n"/>
      <c r="E60" s="301" t="n"/>
      <c r="F60" s="301" t="n"/>
      <c r="G60" s="407" t="inlineStr">
        <is>
          <t>Reserva NT 1</t>
        </is>
      </c>
      <c r="H60" s="407" t="inlineStr">
        <is>
          <t>Ninguno</t>
        </is>
      </c>
      <c r="I60" s="408">
        <f>SUMIFS('Ing-Egr Mayo 2026'!F4:F103,'Ing-Egr Mayo 2026'!B4:B103,"Egreso NT",'Ing-Egr Mayo 2026'!C4:C103,G60)</f>
        <v/>
      </c>
      <c r="J60" s="461" t="n"/>
      <c r="K60" s="301" t="n"/>
      <c r="L60" s="301" t="n"/>
    </row>
    <row r="61" ht="15" customHeight="1" s="221">
      <c r="A61" s="405" t="inlineStr">
        <is>
          <t>Netflix</t>
        </is>
      </c>
      <c r="B61" s="405" t="inlineStr">
        <is>
          <t>Ninguno</t>
        </is>
      </c>
      <c r="C61" s="406" t="n"/>
      <c r="D61" s="460" t="n"/>
      <c r="E61" s="301" t="n"/>
      <c r="F61" s="301" t="n"/>
      <c r="G61" s="403" t="inlineStr">
        <is>
          <t>Reserva NT 2</t>
        </is>
      </c>
      <c r="H61" s="403" t="inlineStr">
        <is>
          <t>Ninguno</t>
        </is>
      </c>
      <c r="I61" s="404">
        <f>SUMIFS('Ing-Egr Mayo 2026'!F4:F103,'Ing-Egr Mayo 2026'!B4:B103,"Egreso NT",'Ing-Egr Mayo 2026'!C4:C103,G61)</f>
        <v/>
      </c>
      <c r="J61" s="459" t="n"/>
      <c r="K61" s="301" t="n"/>
      <c r="L61" s="301" t="n"/>
    </row>
    <row r="62" ht="15" customHeight="1" s="221">
      <c r="A62" s="413" t="inlineStr">
        <is>
          <t>► GASTOS VARIABLES 🔗</t>
        </is>
      </c>
      <c r="B62" s="256" t="n"/>
      <c r="C62" s="256" t="n"/>
      <c r="D62" s="353" t="n"/>
      <c r="E62" s="301" t="n"/>
      <c r="F62" s="301" t="n"/>
      <c r="G62" s="407" t="inlineStr">
        <is>
          <t>Reserva NT 3</t>
        </is>
      </c>
      <c r="H62" s="407" t="inlineStr">
        <is>
          <t>Ninguno</t>
        </is>
      </c>
      <c r="I62" s="408">
        <f>SUMIFS('Ing-Egr Mayo 2026'!F4:F103,'Ing-Egr Mayo 2026'!B4:B103,"Egreso NT",'Ing-Egr Mayo 2026'!C4:C103,G62)</f>
        <v/>
      </c>
      <c r="J62" s="461" t="n"/>
      <c r="K62" s="301" t="n"/>
      <c r="L62" s="301" t="n"/>
    </row>
    <row r="63" ht="15" customHeight="1" s="221">
      <c r="A63" s="410" t="inlineStr">
        <is>
          <t>Combustible</t>
        </is>
      </c>
      <c r="B63" s="410" t="inlineStr">
        <is>
          <t>Ninguno</t>
        </is>
      </c>
      <c r="C63" s="411">
        <f>SUMIFS('Ing-Egr Mayo 2026'!F4:F103,'Ing-Egr Mayo 2026'!B4:B103,"Egreso Familiar",'Ing-Egr Mayo 2026'!C4:C103,A63)</f>
        <v/>
      </c>
      <c r="D63" s="463" t="n"/>
      <c r="E63" s="301" t="n"/>
      <c r="F63" s="301" t="n"/>
      <c r="G63" s="301" t="n"/>
      <c r="H63" s="301" t="n"/>
      <c r="I63" s="301" t="n"/>
      <c r="J63" s="466" t="n"/>
      <c r="K63" s="301" t="n"/>
      <c r="L63" s="301" t="n"/>
    </row>
    <row r="64" ht="15" customHeight="1" s="221">
      <c r="A64" s="405" t="inlineStr">
        <is>
          <t>Supermercado</t>
        </is>
      </c>
      <c r="B64" s="405" t="inlineStr">
        <is>
          <t>Ninguno</t>
        </is>
      </c>
      <c r="C64" s="406">
        <f>SUMIFS('Ing-Egr Mayo 2026'!F4:F103,'Ing-Egr Mayo 2026'!B4:B103,"Egreso Familiar",'Ing-Egr Mayo 2026'!C4:C103,A64)</f>
        <v/>
      </c>
      <c r="D64" s="460" t="n"/>
      <c r="E64" s="301" t="n"/>
      <c r="F64" s="301" t="n"/>
      <c r="G64" s="418" t="inlineStr">
        <is>
          <t>TOTAL NT PAGADOS</t>
        </is>
      </c>
      <c r="I64" s="419">
        <f>SUMIF(H30:H62,"Pagado",I30:I62)</f>
        <v/>
      </c>
      <c r="J64" s="467" t="n"/>
      <c r="K64" s="301" t="n"/>
      <c r="L64" s="301" t="n"/>
    </row>
    <row r="65" ht="15" customHeight="1" s="221">
      <c r="A65" s="410" t="inlineStr">
        <is>
          <t>Farmacia</t>
        </is>
      </c>
      <c r="B65" s="410" t="inlineStr">
        <is>
          <t>Ninguno</t>
        </is>
      </c>
      <c r="C65" s="411">
        <f>SUMIFS('Ing-Egr Mayo 2026'!F4:F103,'Ing-Egr Mayo 2026'!B4:B103,"Egreso Familiar",'Ing-Egr Mayo 2026'!C4:C103,A65)</f>
        <v/>
      </c>
      <c r="D65" s="468">
        <f>C72</f>
        <v/>
      </c>
      <c r="E65" s="301" t="n"/>
      <c r="F65" s="301" t="n"/>
      <c r="G65" s="422" t="inlineStr">
        <is>
          <t>TOTAL NT PENDIENTES</t>
        </is>
      </c>
      <c r="I65" s="423">
        <f>SUMIF(H30:H62,"Pendiente",I30:I62)</f>
        <v/>
      </c>
      <c r="J65" s="469" t="n"/>
      <c r="K65" s="301" t="n"/>
      <c r="L65" s="301" t="n"/>
    </row>
    <row r="66" ht="15" customHeight="1" s="221">
      <c r="A66" s="405" t="inlineStr">
        <is>
          <t>Recreación</t>
        </is>
      </c>
      <c r="B66" s="405" t="inlineStr">
        <is>
          <t>Ninguno</t>
        </is>
      </c>
      <c r="C66" s="406">
        <f>SUMIFS('Ing-Egr Mayo 2026'!F4:F103,'Ing-Egr Mayo 2026'!B4:B103,"Egreso Familiar",'Ing-Egr Mayo 2026'!C4:C103,A66)</f>
        <v/>
      </c>
      <c r="D66" s="470">
        <f>C73</f>
        <v/>
      </c>
      <c r="E66" s="301" t="n"/>
      <c r="F66" s="301" t="n"/>
      <c r="G66" s="301" t="n"/>
      <c r="H66" s="301" t="n"/>
      <c r="I66" s="301" t="n"/>
      <c r="J66" s="466" t="n"/>
      <c r="K66" s="301" t="n"/>
      <c r="L66" s="301" t="n"/>
    </row>
    <row r="67" ht="15" customHeight="1" s="221">
      <c r="A67" s="410" t="inlineStr">
        <is>
          <t>Gastos Varios</t>
        </is>
      </c>
      <c r="B67" s="410" t="inlineStr">
        <is>
          <t>Ninguno</t>
        </is>
      </c>
      <c r="C67" s="411">
        <f>SUMIFS('Ing-Egr Mayo 2026'!F4:F103,'Ing-Egr Mayo 2026'!B4:B103,"Egreso Familiar",'Ing-Egr Mayo 2026'!C4:C103,A67)</f>
        <v/>
      </c>
      <c r="D67" s="463" t="n"/>
      <c r="E67" s="301" t="n"/>
      <c r="F67" s="301" t="n"/>
      <c r="G67" s="386" t="inlineStr">
        <is>
          <t>📊 SALUD FINANCIERA NEUROTEA</t>
        </is>
      </c>
      <c r="L67" s="301" t="n"/>
    </row>
    <row r="68" ht="15" customHeight="1" s="221">
      <c r="A68" s="405" t="inlineStr">
        <is>
          <t>Reserva Fam 1</t>
        </is>
      </c>
      <c r="B68" s="405" t="inlineStr">
        <is>
          <t>Ninguno</t>
        </is>
      </c>
      <c r="C68" s="406">
        <f>SUMIFS('Ing-Egr Mayo 2026'!F4:F103,'Ing-Egr Mayo 2026'!B4:B103,"Egreso Familiar",'Ing-Egr Mayo 2026'!C4:C103,A68)</f>
        <v/>
      </c>
      <c r="D68" s="460" t="n"/>
      <c r="E68" s="301" t="n"/>
      <c r="F68" s="301" t="n"/>
      <c r="G68" s="398" t="inlineStr">
        <is>
          <t>Concepto</t>
        </is>
      </c>
      <c r="H68" s="398" t="inlineStr">
        <is>
          <t>% Ideal</t>
        </is>
      </c>
      <c r="I68" s="426" t="inlineStr">
        <is>
          <t>Monto Ideal</t>
        </is>
      </c>
      <c r="J68" s="471" t="inlineStr">
        <is>
          <t>Monto Real</t>
        </is>
      </c>
      <c r="K68" s="398" t="inlineStr">
        <is>
          <t>Estado</t>
        </is>
      </c>
      <c r="L68" s="301" t="n"/>
    </row>
    <row r="69" ht="15" customHeight="1" s="221">
      <c r="A69" s="410" t="inlineStr">
        <is>
          <t>Reserva Fam 2</t>
        </is>
      </c>
      <c r="B69" s="410" t="inlineStr">
        <is>
          <t>Ninguno</t>
        </is>
      </c>
      <c r="C69" s="411">
        <f>SUMIFS('Ing-Egr Mayo 2026'!F4:F103,'Ing-Egr Mayo 2026'!B4:B103,"Egreso Familiar",'Ing-Egr Mayo 2026'!C4:C103,A69)</f>
        <v/>
      </c>
      <c r="D69" s="463" t="n"/>
      <c r="E69" s="301" t="n"/>
      <c r="F69" s="301" t="n"/>
      <c r="G69" s="301" t="inlineStr">
        <is>
          <t>Gastos Operativos (máx 75%)</t>
        </is>
      </c>
      <c r="H69" s="427" t="n">
        <v>0.75</v>
      </c>
      <c r="I69" s="328">
        <f>J12*0.75</f>
        <v/>
      </c>
      <c r="J69" s="466">
        <f>I64+I65</f>
        <v/>
      </c>
      <c r="K69" s="428">
        <f>IF(J12=0,"-",IF(J69/J12&lt;=0.75,"🟢 OK",IF(J69/J12&lt;=0.9,"🟡 PRECAUCIÓN","🔴 ALARMA")))</f>
        <v/>
      </c>
      <c r="L69" s="301" t="n"/>
    </row>
    <row r="70" ht="15" customHeight="1" s="221">
      <c r="A70" s="414" t="inlineStr">
        <is>
          <t>Reserva Fam 3</t>
        </is>
      </c>
      <c r="B70" s="414" t="inlineStr">
        <is>
          <t>Ninguno</t>
        </is>
      </c>
      <c r="C70" s="415">
        <f>SUMIFS('Ing-Egr Mayo 2026'!F4:F103,'Ing-Egr Mayo 2026'!B4:B103,"Egreso Familiar",'Ing-Egr Mayo 2026'!C4:C103,A70)</f>
        <v/>
      </c>
      <c r="D70" s="465" t="n"/>
      <c r="E70" s="301" t="n"/>
      <c r="F70" s="301" t="n"/>
      <c r="G70" s="301" t="inlineStr">
        <is>
          <t>Ganancia (10%)</t>
        </is>
      </c>
      <c r="H70" s="427" t="n">
        <v>0.1</v>
      </c>
      <c r="I70" s="328">
        <f>J12*0.1</f>
        <v/>
      </c>
      <c r="J70" s="466">
        <f>D22</f>
        <v/>
      </c>
      <c r="K70" s="429">
        <f>IF(J70&gt;=I70,"🟢","🔴")</f>
        <v/>
      </c>
      <c r="L70" s="301" t="n"/>
    </row>
    <row r="71" ht="15" customHeight="1" s="221">
      <c r="A71" s="301" t="n"/>
      <c r="B71" s="301" t="n"/>
      <c r="C71" s="301" t="n"/>
      <c r="D71" s="301" t="n"/>
      <c r="E71" s="301" t="n"/>
      <c r="F71" s="301" t="n"/>
      <c r="G71" s="301" t="inlineStr">
        <is>
          <t>Inversiones (5%)</t>
        </is>
      </c>
      <c r="H71" s="427" t="n">
        <v>0.05</v>
      </c>
      <c r="I71" s="328">
        <f>J12*0.05</f>
        <v/>
      </c>
      <c r="J71" s="328" t="n">
        <v>0</v>
      </c>
      <c r="K71" s="429">
        <f>IF(J71&gt;=I71,"🟢","🔴")</f>
        <v/>
      </c>
      <c r="L71" s="301" t="n"/>
    </row>
    <row r="72" ht="15" customHeight="1" s="221">
      <c r="A72" s="430" t="inlineStr">
        <is>
          <t>TOTAL FAM. PAGADOS</t>
        </is>
      </c>
      <c r="B72" s="353" t="n"/>
      <c r="C72" s="431">
        <f>SUMIF(B30:B70,"Pagado",C30:C70)</f>
        <v/>
      </c>
      <c r="D72" s="432" t="n"/>
      <c r="E72" s="301" t="n"/>
      <c r="F72" s="301" t="n"/>
      <c r="G72" s="301" t="inlineStr">
        <is>
          <t>Imprevistos (5%)</t>
        </is>
      </c>
      <c r="H72" s="427" t="n">
        <v>0.05</v>
      </c>
      <c r="I72" s="328">
        <f>J12*0.05</f>
        <v/>
      </c>
      <c r="J72" s="328" t="n">
        <v>0</v>
      </c>
      <c r="K72" s="429">
        <f>IF(J72&gt;=I72,"🟢","🔴")</f>
        <v/>
      </c>
      <c r="L72" s="301" t="n"/>
    </row>
    <row r="73" ht="15" customHeight="1" s="221">
      <c r="A73" s="433" t="inlineStr">
        <is>
          <t>TOTAL FAM. PENDIENTES</t>
        </is>
      </c>
      <c r="B73" s="353" t="n"/>
      <c r="C73" s="434">
        <f>SUMIF(B30:B70,"Pendiente",C30:C70)</f>
        <v/>
      </c>
      <c r="D73" s="435" t="n"/>
      <c r="E73" s="301" t="n"/>
      <c r="F73" s="301" t="n"/>
      <c r="G73" s="301" t="inlineStr">
        <is>
          <t>Desvío Imprevisto (5%)</t>
        </is>
      </c>
      <c r="H73" s="427" t="n">
        <v>0.05</v>
      </c>
      <c r="I73" s="328">
        <f>J12*0.05</f>
        <v/>
      </c>
      <c r="J73" s="328" t="n">
        <v>0</v>
      </c>
      <c r="K73" s="429">
        <f>IF(J73&gt;=I73,"🟢","🔴")</f>
        <v/>
      </c>
      <c r="L73" s="301" t="n"/>
    </row>
    <row r="74" ht="15" customHeight="1" s="221">
      <c r="A74" s="354" t="n"/>
      <c r="B74" s="354" t="n"/>
      <c r="C74" s="359" t="n"/>
      <c r="D74" s="360" t="n"/>
      <c r="E74" s="301" t="n"/>
      <c r="F74" s="301" t="n"/>
      <c r="G74" s="223" t="inlineStr">
        <is>
          <t>TOTAL</t>
        </is>
      </c>
      <c r="H74" s="436">
        <f>SUM(H69:H73)</f>
        <v/>
      </c>
      <c r="I74" s="437">
        <f>SUM(I69:I73)</f>
        <v/>
      </c>
      <c r="J74" s="437">
        <f>SUM(J69:J73)</f>
        <v/>
      </c>
      <c r="K74" s="301" t="n"/>
      <c r="L74" s="301" t="n"/>
    </row>
    <row r="75" ht="15" customHeight="1" s="221">
      <c r="A75" s="354" t="n"/>
      <c r="B75" s="354" t="n"/>
      <c r="C75" s="359" t="n"/>
      <c r="D75" s="360" t="n"/>
      <c r="E75" s="301" t="n"/>
      <c r="F75" s="301" t="n"/>
      <c r="G75" s="301" t="n"/>
      <c r="H75" s="301" t="n"/>
      <c r="I75" s="301" t="n"/>
      <c r="J75" s="301" t="n"/>
      <c r="K75" s="301" t="n"/>
      <c r="L75" s="301" t="n"/>
    </row>
    <row r="76" ht="15" customHeight="1" s="221">
      <c r="A76" s="354" t="n"/>
      <c r="B76" s="354" t="n"/>
      <c r="C76" s="359" t="n"/>
      <c r="D76" s="360" t="n"/>
      <c r="E76" s="301" t="n"/>
      <c r="F76" s="301" t="n"/>
      <c r="G76" s="223" t="inlineStr">
        <is>
          <t>% GASTOS SOBRE INGRESO:</t>
        </is>
      </c>
      <c r="H76" s="301" t="n"/>
      <c r="I76" s="301" t="n"/>
      <c r="J76" s="438">
        <f>IF(J12=0,0,J69/J12)</f>
        <v/>
      </c>
      <c r="K76" s="301" t="n"/>
      <c r="L76" s="301" t="n"/>
    </row>
    <row r="77" ht="15" customHeight="1" s="221">
      <c r="A77" s="354" t="n"/>
      <c r="B77" s="354" t="n"/>
      <c r="C77" s="359" t="n"/>
      <c r="D77" s="360" t="n"/>
      <c r="E77" s="301" t="n"/>
      <c r="F77" s="301" t="n"/>
      <c r="G77" s="223" t="inlineStr">
        <is>
          <t>DIAGNÓSTICO:</t>
        </is>
      </c>
      <c r="H77" s="301" t="n"/>
      <c r="I77" s="301" t="n"/>
      <c r="J77" s="439">
        <f>IF(J12=0,"Sin datos",IF(J69/J12&lt;=0.75,"🟢 CLÍNICA SANA",IF(J69/J12&lt;=0.9,"🟡 REVISAR GASTOS","🔴 SITUACIÓN CRÍTICA")))</f>
        <v/>
      </c>
      <c r="L77" s="301" t="n"/>
    </row>
    <row r="78" ht="15" customHeight="1" s="221">
      <c r="A78" s="354" t="n"/>
      <c r="B78" s="354" t="n"/>
      <c r="C78" s="359" t="n"/>
      <c r="D78" s="360" t="n"/>
      <c r="E78" s="301" t="n"/>
      <c r="F78" s="301" t="n"/>
      <c r="G78" s="301" t="n"/>
      <c r="H78" s="301" t="n"/>
      <c r="I78" s="301" t="n"/>
      <c r="J78" s="301" t="n"/>
      <c r="K78" s="301" t="n"/>
      <c r="L78" s="301" t="n"/>
    </row>
    <row r="79" ht="15" customHeight="1" s="221">
      <c r="A79" s="354" t="n"/>
      <c r="B79" s="354" t="n"/>
      <c r="C79" s="359" t="n"/>
      <c r="D79" s="360" t="n"/>
      <c r="E79" s="301" t="n"/>
      <c r="F79" s="301" t="n"/>
      <c r="G79" s="301" t="n"/>
      <c r="H79" s="301" t="n"/>
      <c r="I79" s="301" t="n"/>
      <c r="J79" s="301" t="n"/>
      <c r="K79" s="301" t="n"/>
      <c r="L79" s="301" t="n"/>
    </row>
    <row r="80" ht="15" customHeight="1" s="221">
      <c r="A80" s="301" t="n"/>
      <c r="B80" s="301" t="n"/>
      <c r="C80" s="328" t="n"/>
      <c r="D80" s="301" t="n"/>
      <c r="E80" s="301" t="n"/>
      <c r="F80" s="301" t="n"/>
      <c r="G80" s="301" t="n"/>
      <c r="H80" s="301" t="n"/>
      <c r="I80" s="301" t="n"/>
      <c r="J80" s="301" t="n"/>
      <c r="K80" s="301" t="n"/>
      <c r="L80" s="301" t="n"/>
    </row>
    <row r="81" ht="15.75" customHeight="1" s="221">
      <c r="A81" s="301" t="n"/>
      <c r="B81" s="301" t="n"/>
      <c r="C81" s="328" t="n"/>
      <c r="D81" s="301" t="n"/>
      <c r="E81" s="301" t="n"/>
      <c r="F81" s="301" t="n"/>
      <c r="G81" s="301" t="n"/>
      <c r="H81" s="301" t="n"/>
      <c r="I81" s="301" t="n"/>
      <c r="J81" s="301" t="n"/>
      <c r="K81" s="301" t="n"/>
      <c r="L81" s="301" t="n"/>
    </row>
    <row r="82" ht="15.75" customHeight="1" s="221">
      <c r="A82" s="301" t="n"/>
      <c r="B82" s="301" t="n"/>
      <c r="C82" s="328" t="n"/>
      <c r="D82" s="301" t="n"/>
      <c r="E82" s="301" t="n"/>
      <c r="F82" s="301" t="n"/>
      <c r="G82" s="301" t="n"/>
      <c r="H82" s="301" t="n"/>
      <c r="I82" s="301" t="n"/>
      <c r="J82" s="301" t="n"/>
      <c r="K82" s="301" t="n"/>
      <c r="L82" s="301" t="n"/>
    </row>
    <row r="83" ht="15" customHeight="1" s="221">
      <c r="A83" s="301" t="n"/>
      <c r="B83" s="301" t="n"/>
      <c r="C83" s="301" t="n"/>
      <c r="D83" s="301" t="n"/>
      <c r="E83" s="301" t="n"/>
      <c r="F83" s="301" t="n"/>
      <c r="G83" s="301" t="n"/>
      <c r="H83" s="301" t="n"/>
      <c r="I83" s="301" t="n"/>
      <c r="J83" s="301" t="n"/>
      <c r="K83" s="301" t="n"/>
      <c r="L83" s="301" t="n"/>
    </row>
    <row r="84" ht="15" customHeight="1" s="221">
      <c r="A84" s="301" t="n"/>
      <c r="B84" s="301" t="n"/>
      <c r="C84" s="301" t="n"/>
      <c r="D84" s="301" t="n"/>
      <c r="E84" s="301" t="n"/>
      <c r="F84" s="301" t="n"/>
      <c r="G84" s="301" t="n"/>
      <c r="H84" s="301" t="n"/>
      <c r="I84" s="301" t="n"/>
      <c r="J84" s="301" t="n"/>
      <c r="K84" s="301" t="n"/>
      <c r="L84" s="301" t="n"/>
    </row>
    <row r="85" ht="15" customHeight="1" s="221">
      <c r="A85" s="354" t="n"/>
      <c r="B85" s="354" t="n"/>
      <c r="C85" s="354" t="n"/>
      <c r="D85" s="354" t="n"/>
      <c r="E85" s="301" t="n"/>
      <c r="F85" s="301" t="n"/>
      <c r="G85" s="301" t="n"/>
      <c r="H85" s="301" t="n"/>
      <c r="I85" s="301" t="n"/>
      <c r="J85" s="301" t="n"/>
      <c r="K85" s="301" t="n"/>
      <c r="L85" s="301" t="n"/>
    </row>
    <row r="86" ht="15" customHeight="1" s="221">
      <c r="A86" s="301" t="n"/>
      <c r="B86" s="301" t="n"/>
      <c r="C86" s="301" t="n"/>
      <c r="D86" s="301" t="n"/>
      <c r="E86" s="301" t="n"/>
      <c r="F86" s="301" t="n"/>
      <c r="G86" s="301" t="n"/>
      <c r="H86" s="301" t="n"/>
      <c r="I86" s="301" t="n"/>
      <c r="J86" s="301" t="n"/>
      <c r="K86" s="301" t="n"/>
      <c r="L86" s="301" t="n"/>
    </row>
    <row r="87" ht="15" customHeight="1" s="221">
      <c r="A87" s="354" t="n"/>
      <c r="B87" s="354" t="n"/>
      <c r="C87" s="359" t="n"/>
      <c r="D87" s="360" t="n"/>
      <c r="E87" s="301" t="n"/>
      <c r="F87" s="301" t="n"/>
      <c r="G87" s="301" t="n"/>
      <c r="H87" s="301" t="n"/>
      <c r="I87" s="301" t="n"/>
      <c r="J87" s="301" t="n"/>
      <c r="K87" s="301" t="n"/>
      <c r="L87" s="301" t="n"/>
    </row>
    <row r="88" ht="15" customHeight="1" s="221">
      <c r="A88" s="354" t="n"/>
      <c r="B88" s="354" t="n"/>
      <c r="C88" s="359" t="n"/>
      <c r="D88" s="360" t="n"/>
      <c r="E88" s="301" t="n"/>
      <c r="F88" s="301" t="n"/>
      <c r="G88" s="301" t="n"/>
      <c r="H88" s="301" t="n"/>
      <c r="I88" s="301" t="n"/>
      <c r="J88" s="301" t="n"/>
      <c r="K88" s="301" t="n"/>
      <c r="L88" s="301" t="n"/>
    </row>
    <row r="89" ht="15" customHeight="1" s="221">
      <c r="A89" s="354" t="n"/>
      <c r="B89" s="354" t="n"/>
      <c r="C89" s="359" t="n"/>
      <c r="D89" s="360" t="n"/>
      <c r="E89" s="301" t="n"/>
      <c r="F89" s="301" t="n"/>
      <c r="G89" s="301" t="n"/>
      <c r="H89" s="301" t="n"/>
      <c r="I89" s="301" t="n"/>
      <c r="J89" s="301" t="n"/>
      <c r="K89" s="301" t="n"/>
      <c r="L89" s="301" t="n"/>
    </row>
    <row r="90" ht="15" customHeight="1" s="221">
      <c r="A90" s="354" t="n"/>
      <c r="B90" s="354" t="n"/>
      <c r="C90" s="359" t="n"/>
      <c r="D90" s="360" t="n"/>
      <c r="E90" s="301" t="n"/>
      <c r="F90" s="301" t="n"/>
      <c r="G90" s="301" t="n"/>
      <c r="H90" s="301" t="n"/>
      <c r="I90" s="301" t="n"/>
      <c r="J90" s="301" t="n"/>
      <c r="K90" s="301" t="n"/>
      <c r="L90" s="301" t="n"/>
    </row>
    <row r="91" ht="15" customHeight="1" s="221">
      <c r="A91" s="301" t="n"/>
      <c r="B91" s="301" t="n"/>
      <c r="C91" s="328" t="n"/>
      <c r="D91" s="301" t="n"/>
      <c r="E91" s="301" t="n"/>
      <c r="F91" s="301" t="n"/>
      <c r="G91" s="301" t="n"/>
      <c r="H91" s="301" t="n"/>
      <c r="I91" s="301" t="n"/>
      <c r="J91" s="301" t="n"/>
      <c r="K91" s="301" t="n"/>
      <c r="L91" s="301" t="n"/>
    </row>
    <row r="92" ht="15" customHeight="1" s="221">
      <c r="A92" s="301" t="n"/>
      <c r="B92" s="301" t="n"/>
      <c r="C92" s="301" t="n"/>
      <c r="D92" s="301" t="n"/>
      <c r="E92" s="301" t="n"/>
      <c r="F92" s="301" t="n"/>
      <c r="G92" s="301" t="n"/>
      <c r="H92" s="301" t="n"/>
      <c r="I92" s="301" t="n"/>
      <c r="J92" s="301" t="n"/>
      <c r="K92" s="301" t="n"/>
      <c r="L92" s="301" t="n"/>
    </row>
    <row r="93" ht="15" customHeight="1" s="221">
      <c r="A93" s="354" t="n"/>
      <c r="B93" s="354" t="n"/>
      <c r="C93" s="359" t="n"/>
      <c r="D93" s="360" t="n"/>
      <c r="E93" s="301" t="n"/>
      <c r="F93" s="301" t="n"/>
      <c r="G93" s="301" t="n"/>
      <c r="H93" s="301" t="n"/>
      <c r="I93" s="301" t="n"/>
      <c r="J93" s="301" t="n"/>
      <c r="K93" s="301" t="n"/>
      <c r="L93" s="301" t="n"/>
    </row>
    <row r="94" ht="15" customHeight="1" s="221">
      <c r="A94" s="354" t="n"/>
      <c r="B94" s="354" t="n"/>
      <c r="C94" s="359" t="n"/>
      <c r="D94" s="360" t="n"/>
      <c r="E94" s="301" t="n"/>
      <c r="F94" s="301" t="n"/>
      <c r="G94" s="301" t="n"/>
      <c r="H94" s="301" t="n"/>
      <c r="I94" s="301" t="n"/>
      <c r="J94" s="301" t="n"/>
      <c r="K94" s="301" t="n"/>
      <c r="L94" s="301" t="n"/>
    </row>
    <row r="95" ht="15" customHeight="1" s="221">
      <c r="A95" s="354" t="n"/>
      <c r="B95" s="354" t="n"/>
      <c r="C95" s="359" t="n"/>
      <c r="D95" s="360" t="n"/>
      <c r="E95" s="301" t="n"/>
      <c r="F95" s="301" t="n"/>
      <c r="G95" s="301" t="n"/>
      <c r="H95" s="301" t="n"/>
      <c r="I95" s="301" t="n"/>
      <c r="J95" s="301" t="n"/>
      <c r="K95" s="301" t="n"/>
      <c r="L95" s="301" t="n"/>
    </row>
    <row r="96" ht="15" customHeight="1" s="221">
      <c r="A96" s="354" t="n"/>
      <c r="B96" s="354" t="n"/>
      <c r="C96" s="359" t="n"/>
      <c r="D96" s="360" t="n"/>
      <c r="E96" s="301" t="n"/>
      <c r="F96" s="301" t="n"/>
      <c r="G96" s="301" t="n"/>
      <c r="H96" s="301" t="n"/>
      <c r="I96" s="301" t="n"/>
      <c r="J96" s="301" t="n"/>
      <c r="K96" s="301" t="n"/>
      <c r="L96" s="301" t="n"/>
    </row>
    <row r="97" ht="15" customHeight="1" s="221">
      <c r="A97" s="354" t="n"/>
      <c r="B97" s="354" t="n"/>
      <c r="C97" s="359" t="n"/>
      <c r="D97" s="360" t="n"/>
      <c r="E97" s="301" t="n"/>
      <c r="F97" s="301" t="n"/>
      <c r="G97" s="301" t="n"/>
      <c r="H97" s="301" t="n"/>
      <c r="I97" s="301" t="n"/>
      <c r="J97" s="301" t="n"/>
      <c r="K97" s="301" t="n"/>
      <c r="L97" s="301" t="n"/>
    </row>
    <row r="98" ht="15" customHeight="1" s="221">
      <c r="A98" s="354" t="n"/>
      <c r="B98" s="354" t="n"/>
      <c r="C98" s="359" t="n"/>
      <c r="D98" s="360" t="n"/>
      <c r="E98" s="301" t="n"/>
      <c r="F98" s="301" t="n"/>
      <c r="G98" s="301" t="n"/>
      <c r="H98" s="301" t="n"/>
      <c r="I98" s="301" t="n"/>
      <c r="J98" s="301" t="n"/>
      <c r="K98" s="301" t="n"/>
      <c r="L98" s="301" t="n"/>
    </row>
    <row r="99" ht="15" customHeight="1" s="221">
      <c r="A99" s="301" t="n"/>
      <c r="B99" s="301" t="n"/>
      <c r="C99" s="328" t="n"/>
      <c r="D99" s="301" t="n"/>
      <c r="E99" s="301" t="n"/>
      <c r="F99" s="301" t="n"/>
      <c r="G99" s="301" t="n"/>
      <c r="H99" s="301" t="n"/>
      <c r="I99" s="301" t="n"/>
      <c r="J99" s="301" t="n"/>
      <c r="K99" s="301" t="n"/>
      <c r="L99" s="301" t="n"/>
    </row>
    <row r="100" ht="15" customHeight="1" s="221">
      <c r="A100" s="301" t="n"/>
      <c r="B100" s="301" t="n"/>
      <c r="C100" s="301" t="n"/>
      <c r="D100" s="301" t="n"/>
      <c r="E100" s="301" t="n"/>
      <c r="F100" s="301" t="n"/>
      <c r="G100" s="301" t="n"/>
      <c r="H100" s="301" t="n"/>
      <c r="I100" s="301" t="n"/>
      <c r="J100" s="301" t="n"/>
      <c r="K100" s="301" t="n"/>
      <c r="L100" s="301" t="n"/>
    </row>
    <row r="101" ht="15" customHeight="1" s="221">
      <c r="A101" s="354" t="n"/>
      <c r="B101" s="354" t="n"/>
      <c r="C101" s="359" t="n"/>
      <c r="D101" s="360" t="n"/>
      <c r="E101" s="301" t="n"/>
      <c r="F101" s="301" t="n"/>
      <c r="G101" s="301" t="n"/>
      <c r="H101" s="301" t="n"/>
      <c r="I101" s="301" t="n"/>
      <c r="J101" s="301" t="n"/>
      <c r="K101" s="301" t="n"/>
      <c r="L101" s="301" t="n"/>
    </row>
    <row r="102" ht="15" customHeight="1" s="221">
      <c r="A102" s="354" t="n"/>
      <c r="B102" s="354" t="n"/>
      <c r="C102" s="359" t="n"/>
      <c r="D102" s="360" t="n"/>
      <c r="E102" s="301" t="n"/>
      <c r="F102" s="301" t="n"/>
      <c r="G102" s="301" t="n"/>
      <c r="H102" s="301" t="n"/>
      <c r="I102" s="301" t="n"/>
      <c r="J102" s="301" t="n"/>
      <c r="K102" s="301" t="n"/>
      <c r="L102" s="301" t="n"/>
    </row>
    <row r="103" ht="15" customHeight="1" s="221">
      <c r="A103" s="354" t="n"/>
      <c r="B103" s="354" t="n"/>
      <c r="C103" s="359" t="n"/>
      <c r="D103" s="360" t="n"/>
      <c r="E103" s="301" t="n"/>
      <c r="F103" s="301" t="n"/>
      <c r="G103" s="301" t="n"/>
      <c r="H103" s="301" t="n"/>
      <c r="I103" s="301" t="n"/>
      <c r="J103" s="301" t="n"/>
      <c r="K103" s="301" t="n"/>
      <c r="L103" s="301" t="n"/>
    </row>
    <row r="104" ht="15" customHeight="1" s="221">
      <c r="A104" s="354" t="n"/>
      <c r="B104" s="354" t="n"/>
      <c r="C104" s="359" t="n"/>
      <c r="D104" s="360" t="n"/>
      <c r="E104" s="301" t="n"/>
      <c r="F104" s="301" t="n"/>
      <c r="G104" s="301" t="n"/>
      <c r="H104" s="301" t="n"/>
      <c r="I104" s="301" t="n"/>
      <c r="J104" s="301" t="n"/>
      <c r="K104" s="301" t="n"/>
      <c r="L104" s="301" t="n"/>
    </row>
    <row r="105" ht="15" customHeight="1" s="221">
      <c r="A105" s="354" t="n"/>
      <c r="B105" s="354" t="n"/>
      <c r="C105" s="359" t="n"/>
      <c r="D105" s="360" t="n"/>
      <c r="E105" s="301" t="n"/>
      <c r="F105" s="301" t="n"/>
      <c r="G105" s="301" t="n"/>
      <c r="H105" s="301" t="n"/>
      <c r="I105" s="301" t="n"/>
      <c r="J105" s="301" t="n"/>
      <c r="K105" s="301" t="n"/>
      <c r="L105" s="301" t="n"/>
    </row>
    <row r="106" ht="15" customHeight="1" s="221">
      <c r="A106" s="301" t="n"/>
      <c r="B106" s="301" t="n"/>
      <c r="C106" s="328" t="n"/>
      <c r="D106" s="301" t="n"/>
      <c r="E106" s="301" t="n"/>
      <c r="F106" s="301" t="n"/>
      <c r="G106" s="301" t="n"/>
      <c r="H106" s="301" t="n"/>
      <c r="I106" s="301" t="n"/>
      <c r="J106" s="301" t="n"/>
      <c r="K106" s="301" t="n"/>
      <c r="L106" s="301" t="n"/>
    </row>
    <row r="107" ht="15" customHeight="1" s="221">
      <c r="A107" s="301" t="n"/>
      <c r="B107" s="301" t="n"/>
      <c r="C107" s="301" t="n"/>
      <c r="D107" s="301" t="n"/>
      <c r="E107" s="301" t="n"/>
      <c r="F107" s="301" t="n"/>
      <c r="G107" s="301" t="n"/>
      <c r="H107" s="301" t="n"/>
      <c r="I107" s="301" t="n"/>
      <c r="J107" s="301" t="n"/>
      <c r="K107" s="301" t="n"/>
      <c r="L107" s="301" t="n"/>
    </row>
    <row r="108" ht="15" customHeight="1" s="221">
      <c r="A108" s="354" t="n"/>
      <c r="B108" s="354" t="n"/>
      <c r="C108" s="359" t="n"/>
      <c r="D108" s="360" t="n"/>
      <c r="E108" s="301" t="n"/>
      <c r="F108" s="301" t="n"/>
      <c r="G108" s="301" t="n"/>
      <c r="H108" s="301" t="n"/>
      <c r="I108" s="301" t="n"/>
      <c r="J108" s="301" t="n"/>
      <c r="K108" s="301" t="n"/>
      <c r="L108" s="301" t="n"/>
    </row>
    <row r="109" ht="15" customHeight="1" s="221">
      <c r="A109" s="354" t="n"/>
      <c r="B109" s="354" t="n"/>
      <c r="C109" s="359" t="n"/>
      <c r="D109" s="360" t="n"/>
      <c r="E109" s="301" t="n"/>
      <c r="F109" s="301" t="n"/>
      <c r="G109" s="301" t="n"/>
      <c r="H109" s="301" t="n"/>
      <c r="I109" s="301" t="n"/>
      <c r="J109" s="301" t="n"/>
      <c r="K109" s="301" t="n"/>
      <c r="L109" s="301" t="n"/>
    </row>
    <row r="110" ht="15" customHeight="1" s="221">
      <c r="A110" s="301" t="n"/>
      <c r="B110" s="301" t="n"/>
      <c r="C110" s="328" t="n"/>
      <c r="D110" s="301" t="n"/>
      <c r="E110" s="301" t="n"/>
      <c r="F110" s="301" t="n"/>
      <c r="G110" s="301" t="n"/>
      <c r="H110" s="301" t="n"/>
      <c r="I110" s="301" t="n"/>
      <c r="J110" s="301" t="n"/>
      <c r="K110" s="301" t="n"/>
      <c r="L110" s="301" t="n"/>
    </row>
    <row r="111" ht="15" customHeight="1" s="221">
      <c r="A111" s="301" t="n"/>
      <c r="B111" s="301" t="n"/>
      <c r="C111" s="301" t="n"/>
      <c r="D111" s="301" t="n"/>
      <c r="E111" s="301" t="n"/>
      <c r="F111" s="301" t="n"/>
      <c r="G111" s="301" t="n"/>
      <c r="H111" s="301" t="n"/>
      <c r="I111" s="301" t="n"/>
      <c r="J111" s="301" t="n"/>
      <c r="K111" s="301" t="n"/>
      <c r="L111" s="301" t="n"/>
    </row>
    <row r="112" ht="15" customHeight="1" s="221">
      <c r="A112" s="354" t="n"/>
      <c r="B112" s="354" t="n"/>
      <c r="C112" s="359" t="n"/>
      <c r="D112" s="360" t="n"/>
      <c r="E112" s="301" t="n"/>
      <c r="F112" s="301" t="n"/>
      <c r="G112" s="301" t="n"/>
      <c r="H112" s="301" t="n"/>
      <c r="I112" s="301" t="n"/>
      <c r="J112" s="301" t="n"/>
      <c r="K112" s="301" t="n"/>
      <c r="L112" s="301" t="n"/>
    </row>
    <row r="113" ht="15" customHeight="1" s="221">
      <c r="A113" s="354" t="n"/>
      <c r="B113" s="354" t="n"/>
      <c r="C113" s="359" t="n"/>
      <c r="D113" s="360" t="n"/>
      <c r="E113" s="301" t="n"/>
      <c r="F113" s="301" t="n"/>
      <c r="G113" s="301" t="n"/>
      <c r="H113" s="301" t="n"/>
      <c r="I113" s="301" t="n"/>
      <c r="J113" s="301" t="n"/>
      <c r="K113" s="301" t="n"/>
      <c r="L113" s="301" t="n"/>
    </row>
    <row r="114" ht="15" customHeight="1" s="221">
      <c r="A114" s="354" t="n"/>
      <c r="B114" s="354" t="n"/>
      <c r="C114" s="359" t="n"/>
      <c r="D114" s="360" t="n"/>
      <c r="E114" s="301" t="n"/>
      <c r="F114" s="301" t="n"/>
      <c r="G114" s="301" t="n"/>
      <c r="H114" s="301" t="n"/>
      <c r="I114" s="301" t="n"/>
      <c r="J114" s="301" t="n"/>
      <c r="K114" s="301" t="n"/>
      <c r="L114" s="301" t="n"/>
    </row>
    <row r="115" ht="15" customHeight="1" s="221">
      <c r="A115" s="354" t="n"/>
      <c r="B115" s="354" t="n"/>
      <c r="C115" s="359" t="n"/>
      <c r="D115" s="360" t="n"/>
      <c r="E115" s="301" t="n"/>
      <c r="F115" s="301" t="n"/>
      <c r="G115" s="301" t="n"/>
      <c r="H115" s="301" t="n"/>
      <c r="I115" s="301" t="n"/>
      <c r="J115" s="301" t="n"/>
      <c r="K115" s="301" t="n"/>
      <c r="L115" s="301" t="n"/>
    </row>
    <row r="116" ht="15" customHeight="1" s="221">
      <c r="A116" s="354" t="n"/>
      <c r="B116" s="354" t="n"/>
      <c r="C116" s="359" t="n"/>
      <c r="D116" s="360" t="n"/>
      <c r="E116" s="301" t="n"/>
      <c r="F116" s="301" t="n"/>
      <c r="G116" s="301" t="n"/>
      <c r="H116" s="301" t="n"/>
      <c r="I116" s="301" t="n"/>
      <c r="J116" s="301" t="n"/>
      <c r="K116" s="301" t="n"/>
      <c r="L116" s="301" t="n"/>
    </row>
    <row r="117" ht="15" customHeight="1" s="221">
      <c r="A117" s="354" t="n"/>
      <c r="B117" s="354" t="n"/>
      <c r="C117" s="359" t="n"/>
      <c r="D117" s="360" t="n"/>
      <c r="E117" s="301" t="n"/>
      <c r="F117" s="301" t="n"/>
      <c r="G117" s="301" t="n"/>
      <c r="H117" s="301" t="n"/>
      <c r="I117" s="301" t="n"/>
      <c r="J117" s="301" t="n"/>
      <c r="K117" s="301" t="n"/>
      <c r="L117" s="301" t="n"/>
    </row>
    <row r="118" ht="15" customHeight="1" s="221">
      <c r="A118" s="354" t="n"/>
      <c r="B118" s="354" t="n"/>
      <c r="C118" s="359" t="n"/>
      <c r="D118" s="360" t="n"/>
      <c r="E118" s="301" t="n"/>
      <c r="F118" s="301" t="n"/>
      <c r="G118" s="301" t="n"/>
      <c r="H118" s="301" t="n"/>
      <c r="I118" s="301" t="n"/>
      <c r="J118" s="301" t="n"/>
      <c r="K118" s="301" t="n"/>
      <c r="L118" s="301" t="n"/>
    </row>
    <row r="119" ht="15" customHeight="1" s="221">
      <c r="A119" s="354" t="n"/>
      <c r="B119" s="354" t="n"/>
      <c r="C119" s="359" t="n"/>
      <c r="D119" s="360" t="n"/>
      <c r="E119" s="301" t="n"/>
      <c r="F119" s="301" t="n"/>
      <c r="G119" s="301" t="n"/>
      <c r="H119" s="301" t="n"/>
      <c r="I119" s="301" t="n"/>
      <c r="J119" s="301" t="n"/>
      <c r="K119" s="301" t="n"/>
      <c r="L119" s="301" t="n"/>
    </row>
    <row r="120" ht="15" customHeight="1" s="221">
      <c r="A120" s="354" t="n"/>
      <c r="B120" s="354" t="n"/>
      <c r="C120" s="359" t="n"/>
      <c r="D120" s="360" t="n"/>
      <c r="E120" s="301" t="n"/>
      <c r="F120" s="301" t="n"/>
      <c r="G120" s="301" t="n"/>
      <c r="H120" s="301" t="n"/>
      <c r="I120" s="301" t="n"/>
      <c r="J120" s="301" t="n"/>
      <c r="K120" s="301" t="n"/>
      <c r="L120" s="301" t="n"/>
    </row>
    <row r="121" ht="15" customHeight="1" s="221">
      <c r="A121" s="301" t="n"/>
      <c r="B121" s="301" t="n"/>
      <c r="C121" s="328" t="n"/>
      <c r="D121" s="301" t="n"/>
      <c r="E121" s="301" t="n"/>
      <c r="F121" s="301" t="n"/>
      <c r="G121" s="301" t="n"/>
      <c r="H121" s="301" t="n"/>
      <c r="I121" s="301" t="n"/>
      <c r="J121" s="301" t="n"/>
      <c r="K121" s="301" t="n"/>
      <c r="L121" s="301" t="n"/>
    </row>
    <row r="122" ht="15.75" customHeight="1" s="221">
      <c r="A122" s="301" t="n"/>
      <c r="B122" s="301" t="n"/>
      <c r="C122" s="328" t="n"/>
      <c r="D122" s="301" t="n"/>
      <c r="E122" s="301" t="n"/>
      <c r="F122" s="301" t="n"/>
      <c r="G122" s="301" t="n"/>
      <c r="H122" s="301" t="n"/>
      <c r="I122" s="301" t="n"/>
      <c r="J122" s="301" t="n"/>
      <c r="K122" s="301" t="n"/>
      <c r="L122" s="301" t="n"/>
    </row>
    <row r="123" ht="15.75" customHeight="1" s="221">
      <c r="A123" s="301" t="n"/>
      <c r="B123" s="301" t="n"/>
      <c r="C123" s="328" t="n"/>
      <c r="D123" s="301" t="n"/>
      <c r="E123" s="301" t="n"/>
      <c r="F123" s="301" t="n"/>
      <c r="G123" s="301" t="n"/>
      <c r="H123" s="301" t="n"/>
      <c r="I123" s="301" t="n"/>
      <c r="J123" s="301" t="n"/>
      <c r="K123" s="301" t="n"/>
      <c r="L123" s="301" t="n"/>
    </row>
    <row r="124" ht="15" customHeight="1" s="221">
      <c r="A124" s="301" t="n"/>
      <c r="B124" s="301" t="n"/>
      <c r="C124" s="301" t="n"/>
      <c r="D124" s="301" t="n"/>
      <c r="E124" s="301" t="n"/>
      <c r="F124" s="301" t="n"/>
      <c r="G124" s="301" t="n"/>
      <c r="H124" s="301" t="n"/>
      <c r="I124" s="301" t="n"/>
      <c r="J124" s="301" t="n"/>
      <c r="K124" s="301" t="n"/>
      <c r="L124" s="301" t="n"/>
    </row>
    <row r="125" ht="15" customHeight="1" s="221">
      <c r="A125" s="301" t="n"/>
      <c r="B125" s="301" t="n"/>
      <c r="C125" s="301" t="n"/>
      <c r="D125" s="301" t="n"/>
      <c r="E125" s="301" t="n"/>
      <c r="F125" s="301" t="n"/>
      <c r="G125" s="301" t="n"/>
      <c r="H125" s="301" t="n"/>
      <c r="I125" s="301" t="n"/>
      <c r="J125" s="301" t="n"/>
      <c r="K125" s="301" t="n"/>
      <c r="L125" s="301" t="n"/>
    </row>
    <row r="126" ht="15" customHeight="1" s="221">
      <c r="A126" s="301" t="n"/>
      <c r="B126" s="301" t="n"/>
      <c r="C126" s="301" t="n"/>
      <c r="D126" s="301" t="n"/>
      <c r="E126" s="301" t="n"/>
      <c r="F126" s="301" t="n"/>
      <c r="G126" s="301" t="n"/>
      <c r="H126" s="301" t="n"/>
      <c r="I126" s="301" t="n"/>
      <c r="J126" s="301" t="n"/>
      <c r="K126" s="301" t="n"/>
      <c r="L126" s="301" t="n"/>
    </row>
    <row r="127" ht="15" customHeight="1" s="221">
      <c r="A127" s="301" t="n"/>
      <c r="B127" s="301" t="n"/>
      <c r="C127" s="301" t="n"/>
      <c r="D127" s="301" t="n"/>
      <c r="E127" s="301" t="n"/>
      <c r="F127" s="301" t="n"/>
      <c r="G127" s="301" t="n"/>
      <c r="H127" s="301" t="n"/>
      <c r="I127" s="301" t="n"/>
      <c r="J127" s="301" t="n"/>
      <c r="K127" s="301" t="n"/>
      <c r="L127" s="301" t="n"/>
    </row>
    <row r="128" ht="15" customHeight="1" s="221">
      <c r="A128" s="301" t="n"/>
      <c r="B128" s="301" t="n"/>
      <c r="C128" s="301" t="n"/>
      <c r="D128" s="301" t="n"/>
      <c r="E128" s="301" t="n"/>
      <c r="F128" s="301" t="n"/>
      <c r="G128" s="301" t="n"/>
      <c r="H128" s="301" t="n"/>
      <c r="I128" s="301" t="n"/>
      <c r="J128" s="301" t="n"/>
      <c r="K128" s="301" t="n"/>
      <c r="L128" s="301" t="n"/>
    </row>
    <row r="129" ht="15" customHeight="1" s="221">
      <c r="A129" s="301" t="n"/>
      <c r="B129" s="301" t="n"/>
      <c r="C129" s="301" t="n"/>
      <c r="D129" s="301" t="n"/>
      <c r="E129" s="301" t="n"/>
      <c r="F129" s="301" t="n"/>
      <c r="G129" s="301" t="n"/>
      <c r="H129" s="301" t="n"/>
      <c r="I129" s="301" t="n"/>
      <c r="J129" s="301" t="n"/>
      <c r="K129" s="301" t="n"/>
      <c r="L129" s="301" t="n"/>
    </row>
    <row r="130" ht="15" customHeight="1" s="221">
      <c r="A130" s="301" t="n"/>
      <c r="B130" s="301" t="n"/>
      <c r="C130" s="301" t="n"/>
      <c r="D130" s="301" t="n"/>
      <c r="E130" s="301" t="n"/>
      <c r="F130" s="301" t="n"/>
      <c r="G130" s="301" t="n"/>
      <c r="H130" s="301" t="n"/>
      <c r="I130" s="301" t="n"/>
      <c r="J130" s="301" t="n"/>
      <c r="K130" s="301" t="n"/>
      <c r="L130" s="301" t="n"/>
    </row>
    <row r="131" ht="15" customHeight="1" s="221">
      <c r="A131" s="301" t="n"/>
      <c r="B131" s="301" t="n"/>
      <c r="C131" s="301" t="n"/>
      <c r="D131" s="301" t="n"/>
      <c r="E131" s="301" t="n"/>
      <c r="F131" s="301" t="n"/>
      <c r="G131" s="301" t="n"/>
      <c r="H131" s="301" t="n"/>
      <c r="I131" s="301" t="n"/>
      <c r="J131" s="301" t="n"/>
      <c r="K131" s="301" t="n"/>
      <c r="L131" s="301" t="n"/>
    </row>
    <row r="132" ht="15" customHeight="1" s="221">
      <c r="A132" s="301" t="n"/>
      <c r="B132" s="301" t="n"/>
      <c r="C132" s="301" t="n"/>
      <c r="D132" s="301" t="n"/>
      <c r="E132" s="301" t="n"/>
      <c r="F132" s="301" t="n"/>
      <c r="G132" s="301" t="n"/>
      <c r="H132" s="301" t="n"/>
      <c r="I132" s="301" t="n"/>
      <c r="J132" s="301" t="n"/>
      <c r="K132" s="301" t="n"/>
      <c r="L132" s="301" t="n"/>
    </row>
    <row r="133" ht="15" customHeight="1" s="221">
      <c r="A133" s="301" t="n"/>
      <c r="B133" s="301" t="n"/>
      <c r="C133" s="301" t="n"/>
      <c r="D133" s="301" t="n"/>
      <c r="E133" s="301" t="n"/>
      <c r="F133" s="301" t="n"/>
      <c r="G133" s="301" t="n"/>
      <c r="H133" s="301" t="n"/>
      <c r="I133" s="301" t="n"/>
      <c r="J133" s="301" t="n"/>
      <c r="K133" s="301" t="n"/>
      <c r="L133" s="301" t="n"/>
    </row>
    <row r="134" ht="15" customHeight="1" s="221">
      <c r="A134" s="301" t="n"/>
      <c r="B134" s="301" t="n"/>
      <c r="C134" s="301" t="n"/>
      <c r="D134" s="301" t="n"/>
      <c r="E134" s="301" t="n"/>
      <c r="F134" s="301" t="n"/>
      <c r="G134" s="301" t="n"/>
      <c r="H134" s="301" t="n"/>
      <c r="I134" s="301" t="n"/>
      <c r="J134" s="301" t="n"/>
      <c r="K134" s="301" t="n"/>
      <c r="L134" s="301" t="n"/>
    </row>
    <row r="135" ht="15" customHeight="1" s="221">
      <c r="A135" s="301" t="n"/>
      <c r="B135" s="301" t="n"/>
      <c r="C135" s="301" t="n"/>
      <c r="D135" s="301" t="n"/>
      <c r="E135" s="301" t="n"/>
      <c r="F135" s="301" t="n"/>
      <c r="G135" s="301" t="n"/>
      <c r="H135" s="301" t="n"/>
      <c r="I135" s="301" t="n"/>
      <c r="J135" s="301" t="n"/>
      <c r="K135" s="301" t="n"/>
      <c r="L135" s="301" t="n"/>
    </row>
    <row r="136" ht="15" customHeight="1" s="221">
      <c r="A136" s="301" t="n"/>
      <c r="B136" s="301" t="n"/>
      <c r="C136" s="301" t="n"/>
      <c r="D136" s="301" t="n"/>
      <c r="E136" s="301" t="n"/>
      <c r="F136" s="301" t="n"/>
      <c r="G136" s="301" t="n"/>
      <c r="H136" s="301" t="n"/>
      <c r="I136" s="301" t="n"/>
      <c r="J136" s="301" t="n"/>
      <c r="K136" s="301" t="n"/>
      <c r="L136" s="301" t="n"/>
    </row>
    <row r="137" ht="15" customHeight="1" s="221">
      <c r="A137" s="301" t="n"/>
      <c r="B137" s="301" t="n"/>
      <c r="C137" s="301" t="n"/>
      <c r="D137" s="301" t="n"/>
      <c r="E137" s="301" t="n"/>
      <c r="F137" s="301" t="n"/>
      <c r="G137" s="301" t="n"/>
      <c r="H137" s="301" t="n"/>
      <c r="I137" s="301" t="n"/>
      <c r="J137" s="301" t="n"/>
      <c r="K137" s="301" t="n"/>
      <c r="L137" s="301" t="n"/>
    </row>
    <row r="138" ht="15" customHeight="1" s="221">
      <c r="A138" s="301" t="n"/>
      <c r="B138" s="301" t="n"/>
      <c r="C138" s="301" t="n"/>
      <c r="D138" s="301" t="n"/>
      <c r="E138" s="301" t="n"/>
      <c r="F138" s="301" t="n"/>
      <c r="G138" s="301" t="n"/>
      <c r="H138" s="301" t="n"/>
      <c r="I138" s="301" t="n"/>
      <c r="J138" s="301" t="n"/>
      <c r="K138" s="301" t="n"/>
      <c r="L138" s="301" t="n"/>
    </row>
    <row r="139" ht="15" customHeight="1" s="221">
      <c r="A139" s="301" t="n"/>
      <c r="B139" s="301" t="n"/>
      <c r="C139" s="301" t="n"/>
      <c r="D139" s="301" t="n"/>
      <c r="E139" s="301" t="n"/>
      <c r="F139" s="301" t="n"/>
      <c r="G139" s="301" t="n"/>
      <c r="H139" s="301" t="n"/>
      <c r="I139" s="301" t="n"/>
      <c r="J139" s="301" t="n"/>
      <c r="K139" s="301" t="n"/>
      <c r="L139" s="301" t="n"/>
    </row>
    <row r="140" ht="15" customHeight="1" s="221">
      <c r="A140" s="301" t="n"/>
      <c r="B140" s="301" t="n"/>
      <c r="C140" s="301" t="n"/>
      <c r="D140" s="301" t="n"/>
      <c r="E140" s="301" t="n"/>
      <c r="F140" s="301" t="n"/>
      <c r="G140" s="301" t="n"/>
      <c r="H140" s="301" t="n"/>
      <c r="I140" s="301" t="n"/>
      <c r="J140" s="301" t="n"/>
      <c r="K140" s="301" t="n"/>
      <c r="L140" s="301" t="n"/>
    </row>
    <row r="141" ht="15" customHeight="1" s="221">
      <c r="A141" s="301" t="n"/>
      <c r="B141" s="301" t="n"/>
      <c r="C141" s="301" t="n"/>
      <c r="D141" s="301" t="n"/>
      <c r="E141" s="301" t="n"/>
      <c r="F141" s="301" t="n"/>
      <c r="G141" s="301" t="n"/>
      <c r="H141" s="301" t="n"/>
      <c r="I141" s="301" t="n"/>
      <c r="J141" s="301" t="n"/>
      <c r="K141" s="301" t="n"/>
      <c r="L141" s="301" t="n"/>
    </row>
    <row r="142" ht="15" customHeight="1" s="221">
      <c r="A142" s="301" t="n"/>
      <c r="B142" s="301" t="n"/>
      <c r="C142" s="301" t="n"/>
      <c r="D142" s="301" t="n"/>
      <c r="E142" s="301" t="n"/>
      <c r="F142" s="301" t="n"/>
      <c r="G142" s="301" t="n"/>
      <c r="H142" s="301" t="n"/>
      <c r="I142" s="301" t="n"/>
      <c r="J142" s="301" t="n"/>
      <c r="K142" s="301" t="n"/>
      <c r="L142" s="301" t="n"/>
    </row>
    <row r="143" ht="15" customHeight="1" s="221">
      <c r="A143" s="301" t="n"/>
      <c r="B143" s="301" t="n"/>
      <c r="C143" s="301" t="n"/>
      <c r="D143" s="301" t="n"/>
      <c r="E143" s="301" t="n"/>
      <c r="F143" s="301" t="n"/>
      <c r="G143" s="301" t="n"/>
      <c r="H143" s="301" t="n"/>
      <c r="I143" s="301" t="n"/>
      <c r="J143" s="301" t="n"/>
      <c r="K143" s="301" t="n"/>
      <c r="L143" s="301" t="n"/>
    </row>
    <row r="144" ht="15" customHeight="1" s="221">
      <c r="A144" s="301" t="n"/>
      <c r="B144" s="301" t="n"/>
      <c r="C144" s="301" t="n"/>
      <c r="D144" s="301" t="n"/>
      <c r="E144" s="301" t="n"/>
      <c r="F144" s="301" t="n"/>
      <c r="G144" s="301" t="n"/>
      <c r="H144" s="301" t="n"/>
      <c r="I144" s="301" t="n"/>
      <c r="J144" s="301" t="n"/>
      <c r="K144" s="301" t="n"/>
      <c r="L144" s="301" t="n"/>
    </row>
    <row r="145" ht="15" customHeight="1" s="221">
      <c r="A145" s="301" t="n"/>
      <c r="B145" s="301" t="n"/>
      <c r="C145" s="301" t="n"/>
      <c r="D145" s="301" t="n"/>
      <c r="E145" s="301" t="n"/>
      <c r="F145" s="301" t="n"/>
      <c r="G145" s="301" t="n"/>
      <c r="H145" s="301" t="n"/>
      <c r="I145" s="301" t="n"/>
      <c r="J145" s="301" t="n"/>
      <c r="K145" s="301" t="n"/>
      <c r="L145" s="301" t="n"/>
    </row>
    <row r="146" ht="15" customHeight="1" s="221">
      <c r="A146" s="301" t="n"/>
      <c r="B146" s="301" t="n"/>
      <c r="C146" s="301" t="n"/>
      <c r="D146" s="301" t="n"/>
      <c r="E146" s="301" t="n"/>
      <c r="F146" s="301" t="n"/>
      <c r="G146" s="301" t="n"/>
      <c r="H146" s="301" t="n"/>
      <c r="I146" s="301" t="n"/>
      <c r="J146" s="301" t="n"/>
      <c r="K146" s="301" t="n"/>
      <c r="L146" s="301" t="n"/>
    </row>
    <row r="147" ht="15" customHeight="1" s="221">
      <c r="A147" s="301" t="n"/>
      <c r="B147" s="301" t="n"/>
      <c r="C147" s="301" t="n"/>
      <c r="D147" s="301" t="n"/>
      <c r="E147" s="301" t="n"/>
      <c r="F147" s="301" t="n"/>
      <c r="G147" s="301" t="n"/>
      <c r="H147" s="301" t="n"/>
      <c r="I147" s="301" t="n"/>
      <c r="J147" s="301" t="n"/>
      <c r="K147" s="301" t="n"/>
      <c r="L147" s="301" t="n"/>
    </row>
    <row r="148" ht="15" customHeight="1" s="221">
      <c r="A148" s="301" t="n"/>
      <c r="B148" s="301" t="n"/>
      <c r="C148" s="301" t="n"/>
      <c r="D148" s="301" t="n"/>
      <c r="E148" s="301" t="n"/>
      <c r="F148" s="301" t="n"/>
      <c r="G148" s="301" t="n"/>
      <c r="H148" s="301" t="n"/>
      <c r="I148" s="301" t="n"/>
      <c r="J148" s="301" t="n"/>
      <c r="K148" s="301" t="n"/>
      <c r="L148" s="301" t="n"/>
    </row>
    <row r="149" ht="15" customHeight="1" s="221">
      <c r="A149" s="301" t="n"/>
      <c r="B149" s="301" t="n"/>
      <c r="C149" s="301" t="n"/>
      <c r="D149" s="301" t="n"/>
      <c r="E149" s="301" t="n"/>
      <c r="F149" s="301" t="n"/>
      <c r="G149" s="301" t="n"/>
      <c r="H149" s="301" t="n"/>
      <c r="I149" s="301" t="n"/>
      <c r="J149" s="301" t="n"/>
      <c r="K149" s="301" t="n"/>
      <c r="L149" s="301" t="n"/>
    </row>
    <row r="150" ht="15" customHeight="1" s="221">
      <c r="A150" s="301" t="n"/>
      <c r="B150" s="301" t="n"/>
      <c r="C150" s="301" t="n"/>
      <c r="D150" s="301" t="n"/>
      <c r="E150" s="301" t="n"/>
      <c r="F150" s="301" t="n"/>
      <c r="G150" s="301" t="n"/>
      <c r="H150" s="301" t="n"/>
      <c r="I150" s="301" t="n"/>
      <c r="J150" s="301" t="n"/>
      <c r="K150" s="301" t="n"/>
      <c r="L150" s="301" t="n"/>
    </row>
  </sheetData>
  <mergeCells count="35">
    <mergeCell ref="G10:I10"/>
    <mergeCell ref="A8:D8"/>
    <mergeCell ref="A73:B73"/>
    <mergeCell ref="A62:D62"/>
    <mergeCell ref="G47:J47"/>
    <mergeCell ref="G54:J54"/>
    <mergeCell ref="A28:D28"/>
    <mergeCell ref="A26:C26"/>
    <mergeCell ref="G40:J40"/>
    <mergeCell ref="J77:K77"/>
    <mergeCell ref="A30:D30"/>
    <mergeCell ref="A51:D51"/>
    <mergeCell ref="A20:C20"/>
    <mergeCell ref="A3:B3"/>
    <mergeCell ref="G3:H3"/>
    <mergeCell ref="G67:J67"/>
    <mergeCell ref="A1:J1"/>
    <mergeCell ref="G8:J8"/>
    <mergeCell ref="G9:I9"/>
    <mergeCell ref="G65:H65"/>
    <mergeCell ref="D4:E4"/>
    <mergeCell ref="A41:D41"/>
    <mergeCell ref="G12:I12"/>
    <mergeCell ref="A17:B17"/>
    <mergeCell ref="D3:E3"/>
    <mergeCell ref="G64:H64"/>
    <mergeCell ref="G28:J28"/>
    <mergeCell ref="A4:B4"/>
    <mergeCell ref="G4:H4"/>
    <mergeCell ref="A72:B72"/>
    <mergeCell ref="A6:C6"/>
    <mergeCell ref="G34:J34"/>
    <mergeCell ref="G30:J30"/>
    <mergeCell ref="A9:B9"/>
    <mergeCell ref="G45:J45"/>
  </mergeCells>
  <conditionalFormatting sqref="B33:B200">
    <cfRule type="expression" rank="0" priority="2" equalAverage="0" aboveAverage="0" dxfId="0" text="" percent="0" bottom="0">
      <formula>$B33="Pagado"</formula>
    </cfRule>
    <cfRule type="expression" rank="0" priority="3" equalAverage="0" aboveAverage="0" dxfId="1" text="" percent="0" bottom="0">
      <formula>$B33="Pendiente"</formula>
    </cfRule>
    <cfRule type="expression" rank="0" priority="4" equalAverage="0" aboveAverage="0" dxfId="2" text="" percent="0" bottom="0">
      <formula>$B33="Cancelado"</formula>
    </cfRule>
  </conditionalFormatting>
  <dataValidations count="2">
    <dataValidation sqref="B33:B200" showDropDown="0" showInputMessage="0" showErrorMessage="0" allowBlank="1" type="list" errorStyle="stop" operator="between">
      <formula1>"Ninguno,Pendiente,Pagado,Cancelado"</formula1>
      <formula2>0</formula2>
    </dataValidation>
    <dataValidation sqref="H31:H62" showDropDown="0" showInputMessage="0" showErrorMessage="0" allowBlank="1" errorTitle="Estado inválido" error="Selecciona un estado válido" type="list">
      <formula1>"Ninguno,Pendiente,Pagado,Cancelado"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1ABC9C"/>
    <outlinePr summaryBelow="1" summaryRight="1"/>
    <pageSetUpPr fitToPage="0"/>
  </sheetPr>
  <dimension ref="A1:J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2" customWidth="1" style="220" min="1" max="2"/>
    <col width="18" customWidth="1" style="220" min="3" max="3"/>
    <col width="28" customWidth="1" style="220" min="4" max="4"/>
    <col width="14" customWidth="1" style="220" min="5" max="6"/>
    <col width="18" customWidth="1" style="220" min="7" max="8"/>
  </cols>
  <sheetData>
    <row r="1" ht="18" customHeight="1" s="221">
      <c r="A1" s="310" t="inlineStr">
        <is>
          <t>📋 REGISTRO DE MOVIMIENTOS - JUNIO 2026</t>
        </is>
      </c>
      <c r="I1" s="301" t="n"/>
      <c r="J1" s="301" t="n"/>
    </row>
    <row r="2" ht="15" customHeight="1" s="221">
      <c r="A2" s="301" t="n"/>
      <c r="B2" s="301" t="n"/>
      <c r="C2" s="301" t="n"/>
      <c r="D2" s="301" t="n"/>
      <c r="E2" s="301" t="n"/>
      <c r="F2" s="301" t="n"/>
      <c r="G2" s="301" t="n"/>
      <c r="H2" s="301" t="n"/>
      <c r="I2" s="301" t="n"/>
      <c r="J2" s="301" t="n"/>
    </row>
    <row r="3" ht="15" customHeight="1" s="221">
      <c r="A3" s="311" t="inlineStr">
        <is>
          <t>Fecha</t>
        </is>
      </c>
      <c r="B3" s="312" t="inlineStr">
        <is>
          <t>Tipo</t>
        </is>
      </c>
      <c r="C3" s="312" t="inlineStr">
        <is>
          <t>Categoría</t>
        </is>
      </c>
      <c r="D3" s="311" t="inlineStr">
        <is>
          <t>Descripción</t>
        </is>
      </c>
      <c r="E3" s="311" t="inlineStr">
        <is>
          <t>Ingreso</t>
        </is>
      </c>
      <c r="F3" s="311" t="inlineStr">
        <is>
          <t>Egreso</t>
        </is>
      </c>
      <c r="G3" s="311" t="inlineStr">
        <is>
          <t>Cuenta</t>
        </is>
      </c>
      <c r="H3" s="311" t="inlineStr">
        <is>
          <t>Notas</t>
        </is>
      </c>
      <c r="I3" s="301" t="n"/>
      <c r="J3" s="301" t="n"/>
    </row>
    <row r="4" ht="15" customHeight="1" s="221">
      <c r="A4" s="313" t="n"/>
      <c r="B4" s="314" t="n"/>
      <c r="C4" s="315" t="n"/>
      <c r="D4" s="316" t="n"/>
      <c r="E4" s="317" t="n"/>
      <c r="F4" s="317" t="n"/>
      <c r="G4" s="318" t="n"/>
      <c r="H4" s="316" t="n"/>
      <c r="I4" s="301" t="n"/>
      <c r="J4" s="301" t="n"/>
    </row>
    <row r="5" ht="15" customHeight="1" s="221">
      <c r="A5" s="319" t="n"/>
      <c r="B5" s="320" t="n"/>
      <c r="C5" s="321" t="n"/>
      <c r="D5" s="322" t="n"/>
      <c r="E5" s="323" t="n"/>
      <c r="F5" s="323" t="n"/>
      <c r="G5" s="324" t="n"/>
      <c r="H5" s="322" t="n"/>
      <c r="I5" s="301" t="n"/>
      <c r="J5" s="301" t="n"/>
    </row>
    <row r="6" ht="15" customHeight="1" s="221">
      <c r="A6" s="313" t="n"/>
      <c r="B6" s="314" t="n"/>
      <c r="C6" s="315" t="n"/>
      <c r="D6" s="316" t="n"/>
      <c r="E6" s="317" t="n"/>
      <c r="F6" s="317" t="n"/>
      <c r="G6" s="318" t="n"/>
      <c r="H6" s="316" t="n"/>
      <c r="I6" s="301" t="n"/>
      <c r="J6" s="301" t="n"/>
    </row>
    <row r="7" ht="15" customHeight="1" s="221">
      <c r="A7" s="319" t="n"/>
      <c r="B7" s="320" t="n"/>
      <c r="C7" s="321" t="n"/>
      <c r="D7" s="322" t="n"/>
      <c r="E7" s="323" t="n"/>
      <c r="F7" s="323" t="n"/>
      <c r="G7" s="324" t="n"/>
      <c r="H7" s="322" t="n"/>
      <c r="I7" s="301" t="n"/>
      <c r="J7" s="301" t="n"/>
    </row>
    <row r="8" ht="15" customHeight="1" s="221">
      <c r="A8" s="313" t="n"/>
      <c r="B8" s="314" t="n"/>
      <c r="C8" s="315" t="n"/>
      <c r="D8" s="316" t="n"/>
      <c r="E8" s="317" t="n"/>
      <c r="F8" s="317" t="n"/>
      <c r="G8" s="318" t="n"/>
      <c r="H8" s="316" t="n"/>
      <c r="I8" s="301" t="n"/>
      <c r="J8" s="301" t="n"/>
    </row>
    <row r="9" ht="15" customHeight="1" s="221">
      <c r="A9" s="319" t="n"/>
      <c r="B9" s="320" t="n"/>
      <c r="C9" s="321" t="n"/>
      <c r="D9" s="322" t="n"/>
      <c r="E9" s="323" t="n"/>
      <c r="F9" s="323" t="n"/>
      <c r="G9" s="324" t="n"/>
      <c r="H9" s="322" t="n"/>
      <c r="I9" s="301" t="n"/>
      <c r="J9" s="301" t="n"/>
    </row>
    <row r="10" ht="15" customHeight="1" s="221">
      <c r="A10" s="313" t="n"/>
      <c r="B10" s="314" t="n"/>
      <c r="C10" s="315" t="n"/>
      <c r="D10" s="316" t="n"/>
      <c r="E10" s="317" t="n"/>
      <c r="F10" s="317" t="n"/>
      <c r="G10" s="318" t="n"/>
      <c r="H10" s="316" t="n"/>
      <c r="I10" s="301" t="n"/>
      <c r="J10" s="301" t="n"/>
    </row>
    <row r="11" ht="15" customHeight="1" s="221">
      <c r="A11" s="319" t="n"/>
      <c r="B11" s="320" t="n"/>
      <c r="C11" s="321" t="n"/>
      <c r="D11" s="322" t="n"/>
      <c r="E11" s="323" t="n"/>
      <c r="F11" s="323" t="n"/>
      <c r="G11" s="324" t="n"/>
      <c r="H11" s="322" t="n"/>
      <c r="I11" s="301" t="n"/>
      <c r="J11" s="301" t="n"/>
    </row>
    <row r="12" ht="15" customHeight="1" s="221">
      <c r="A12" s="313" t="n"/>
      <c r="B12" s="314" t="n"/>
      <c r="C12" s="315" t="n"/>
      <c r="D12" s="316" t="n"/>
      <c r="E12" s="317" t="n"/>
      <c r="F12" s="317" t="n"/>
      <c r="G12" s="318" t="n"/>
      <c r="H12" s="316" t="n"/>
      <c r="I12" s="301" t="n"/>
      <c r="J12" s="301" t="n"/>
    </row>
    <row r="13" ht="15" customHeight="1" s="221">
      <c r="A13" s="319" t="n"/>
      <c r="B13" s="320" t="n"/>
      <c r="C13" s="321" t="n"/>
      <c r="D13" s="322" t="n"/>
      <c r="E13" s="323" t="n"/>
      <c r="F13" s="323" t="n"/>
      <c r="G13" s="324" t="n"/>
      <c r="H13" s="322" t="n"/>
      <c r="I13" s="301" t="n"/>
      <c r="J13" s="301" t="n"/>
    </row>
    <row r="14" ht="15" customHeight="1" s="221">
      <c r="A14" s="313" t="n"/>
      <c r="B14" s="314" t="n"/>
      <c r="C14" s="315" t="n"/>
      <c r="D14" s="316" t="n"/>
      <c r="E14" s="317" t="n"/>
      <c r="F14" s="317" t="n"/>
      <c r="G14" s="318" t="n"/>
      <c r="H14" s="316" t="n"/>
      <c r="I14" s="301" t="n"/>
      <c r="J14" s="301" t="n"/>
    </row>
    <row r="15" ht="15" customHeight="1" s="221">
      <c r="A15" s="319" t="n"/>
      <c r="B15" s="320" t="n"/>
      <c r="C15" s="321" t="n"/>
      <c r="D15" s="322" t="n"/>
      <c r="E15" s="323" t="n"/>
      <c r="F15" s="323" t="n"/>
      <c r="G15" s="324" t="n"/>
      <c r="H15" s="322" t="n"/>
      <c r="I15" s="301" t="n"/>
      <c r="J15" s="301" t="n"/>
    </row>
    <row r="16" ht="15" customHeight="1" s="221">
      <c r="A16" s="313" t="n"/>
      <c r="B16" s="314" t="n"/>
      <c r="C16" s="315" t="n"/>
      <c r="D16" s="316" t="n"/>
      <c r="E16" s="317" t="n"/>
      <c r="F16" s="317" t="n"/>
      <c r="G16" s="318" t="n"/>
      <c r="H16" s="316" t="n"/>
      <c r="I16" s="301" t="n"/>
      <c r="J16" s="301" t="n"/>
    </row>
    <row r="17" ht="15" customHeight="1" s="221">
      <c r="A17" s="319" t="n"/>
      <c r="B17" s="320" t="n"/>
      <c r="C17" s="321" t="n"/>
      <c r="D17" s="322" t="n"/>
      <c r="E17" s="323" t="n"/>
      <c r="F17" s="323" t="n"/>
      <c r="G17" s="324" t="n"/>
      <c r="H17" s="322" t="n"/>
      <c r="I17" s="301" t="n"/>
      <c r="J17" s="301" t="n"/>
    </row>
    <row r="18" ht="15" customHeight="1" s="221">
      <c r="A18" s="313" t="n"/>
      <c r="B18" s="314" t="n"/>
      <c r="C18" s="315" t="n"/>
      <c r="D18" s="316" t="n"/>
      <c r="E18" s="317" t="n"/>
      <c r="F18" s="317" t="n"/>
      <c r="G18" s="318" t="n"/>
      <c r="H18" s="316" t="n"/>
      <c r="I18" s="301" t="n"/>
      <c r="J18" s="301" t="n"/>
    </row>
    <row r="19" ht="15" customHeight="1" s="221">
      <c r="A19" s="319" t="n"/>
      <c r="B19" s="320" t="n"/>
      <c r="C19" s="321" t="n"/>
      <c r="D19" s="322" t="n"/>
      <c r="E19" s="323" t="n"/>
      <c r="F19" s="323" t="n"/>
      <c r="G19" s="324" t="n"/>
      <c r="H19" s="322" t="n"/>
      <c r="I19" s="301" t="n"/>
      <c r="J19" s="301" t="n"/>
    </row>
    <row r="20" ht="15" customHeight="1" s="221">
      <c r="A20" s="313" t="n"/>
      <c r="B20" s="314" t="n"/>
      <c r="C20" s="315" t="n"/>
      <c r="D20" s="316" t="n"/>
      <c r="E20" s="317" t="n"/>
      <c r="F20" s="317" t="n"/>
      <c r="G20" s="318" t="n"/>
      <c r="H20" s="316" t="n"/>
      <c r="I20" s="301" t="n"/>
      <c r="J20" s="301" t="n"/>
    </row>
    <row r="21" ht="15" customHeight="1" s="221">
      <c r="A21" s="319" t="n"/>
      <c r="B21" s="320" t="n"/>
      <c r="C21" s="321" t="n"/>
      <c r="D21" s="322" t="n"/>
      <c r="E21" s="323" t="n"/>
      <c r="F21" s="323" t="n"/>
      <c r="G21" s="324" t="n"/>
      <c r="H21" s="322" t="n"/>
      <c r="I21" s="301" t="n"/>
      <c r="J21" s="301" t="n"/>
    </row>
    <row r="22" ht="15" customHeight="1" s="221">
      <c r="A22" s="313" t="n"/>
      <c r="B22" s="314" t="n"/>
      <c r="C22" s="315" t="n"/>
      <c r="D22" s="316" t="n"/>
      <c r="E22" s="317" t="n"/>
      <c r="F22" s="317" t="n"/>
      <c r="G22" s="318" t="n"/>
      <c r="H22" s="316" t="n"/>
      <c r="I22" s="301" t="n"/>
      <c r="J22" s="301" t="n"/>
    </row>
    <row r="23" ht="15" customHeight="1" s="221">
      <c r="A23" s="319" t="n"/>
      <c r="B23" s="320" t="n"/>
      <c r="C23" s="321" t="n"/>
      <c r="D23" s="322" t="n"/>
      <c r="E23" s="323" t="n"/>
      <c r="F23" s="323" t="n"/>
      <c r="G23" s="324" t="n"/>
      <c r="H23" s="322" t="n"/>
      <c r="I23" s="301" t="n"/>
      <c r="J23" s="301" t="n"/>
    </row>
    <row r="24" ht="15" customHeight="1" s="221">
      <c r="A24" s="313" t="n"/>
      <c r="B24" s="318" t="n"/>
      <c r="C24" s="315" t="n"/>
      <c r="D24" s="316" t="n"/>
      <c r="E24" s="317" t="n"/>
      <c r="F24" s="317" t="n"/>
      <c r="G24" s="318" t="n"/>
      <c r="H24" s="316" t="n"/>
      <c r="I24" s="301" t="n"/>
      <c r="J24" s="301" t="n"/>
    </row>
    <row r="25" ht="15" customHeight="1" s="221">
      <c r="A25" s="319" t="n"/>
      <c r="B25" s="324" t="n"/>
      <c r="C25" s="321" t="n"/>
      <c r="D25" s="322" t="n"/>
      <c r="E25" s="323" t="n"/>
      <c r="F25" s="323" t="n"/>
      <c r="G25" s="324" t="n"/>
      <c r="H25" s="322" t="n"/>
      <c r="I25" s="301" t="n"/>
      <c r="J25" s="301" t="n"/>
    </row>
    <row r="26" ht="15" customHeight="1" s="221">
      <c r="A26" s="313" t="n"/>
      <c r="B26" s="318" t="n"/>
      <c r="C26" s="315" t="n"/>
      <c r="D26" s="316" t="n"/>
      <c r="E26" s="317" t="n"/>
      <c r="F26" s="317" t="n"/>
      <c r="G26" s="318" t="n"/>
      <c r="H26" s="316" t="n"/>
      <c r="I26" s="301" t="n"/>
      <c r="J26" s="301" t="n"/>
    </row>
    <row r="27" ht="15" customHeight="1" s="221">
      <c r="A27" s="319" t="n"/>
      <c r="B27" s="324" t="n"/>
      <c r="C27" s="321" t="n"/>
      <c r="D27" s="322" t="n"/>
      <c r="E27" s="323" t="n"/>
      <c r="F27" s="323" t="n"/>
      <c r="G27" s="324" t="n"/>
      <c r="H27" s="322" t="n"/>
      <c r="I27" s="301" t="n"/>
      <c r="J27" s="301" t="n"/>
    </row>
    <row r="28" ht="15" customHeight="1" s="221">
      <c r="A28" s="313" t="n"/>
      <c r="B28" s="318" t="n"/>
      <c r="C28" s="315" t="n"/>
      <c r="D28" s="316" t="n"/>
      <c r="E28" s="317" t="n"/>
      <c r="F28" s="317" t="n"/>
      <c r="G28" s="318" t="n"/>
      <c r="H28" s="316" t="n"/>
      <c r="I28" s="301" t="n"/>
      <c r="J28" s="301" t="n"/>
    </row>
    <row r="29" ht="15" customHeight="1" s="221">
      <c r="A29" s="319" t="n"/>
      <c r="B29" s="324" t="n"/>
      <c r="C29" s="321" t="n"/>
      <c r="D29" s="322" t="n"/>
      <c r="E29" s="323" t="n"/>
      <c r="F29" s="323" t="n"/>
      <c r="G29" s="324" t="n"/>
      <c r="H29" s="322" t="n"/>
      <c r="I29" s="301" t="n"/>
      <c r="J29" s="301" t="n"/>
    </row>
    <row r="30" ht="15" customHeight="1" s="221">
      <c r="A30" s="313" t="n"/>
      <c r="B30" s="318" t="n"/>
      <c r="C30" s="315" t="n"/>
      <c r="D30" s="316" t="n"/>
      <c r="E30" s="317" t="n"/>
      <c r="F30" s="317" t="n"/>
      <c r="G30" s="318" t="n"/>
      <c r="H30" s="316" t="n"/>
      <c r="I30" s="301" t="n"/>
      <c r="J30" s="301" t="n"/>
    </row>
    <row r="31" ht="15" customHeight="1" s="221">
      <c r="A31" s="319" t="n"/>
      <c r="B31" s="324" t="n"/>
      <c r="C31" s="321" t="n"/>
      <c r="D31" s="322" t="n"/>
      <c r="E31" s="323" t="n"/>
      <c r="F31" s="323" t="n"/>
      <c r="G31" s="324" t="n"/>
      <c r="H31" s="322" t="n"/>
      <c r="I31" s="301" t="n"/>
      <c r="J31" s="301" t="n"/>
    </row>
    <row r="32" ht="15" customHeight="1" s="221">
      <c r="A32" s="313" t="n"/>
      <c r="B32" s="318" t="n"/>
      <c r="C32" s="315" t="n"/>
      <c r="D32" s="316" t="n"/>
      <c r="E32" s="317" t="n"/>
      <c r="F32" s="317" t="n"/>
      <c r="G32" s="318" t="n"/>
      <c r="H32" s="316" t="n"/>
      <c r="I32" s="301" t="n"/>
      <c r="J32" s="301" t="n"/>
    </row>
    <row r="33" ht="15" customHeight="1" s="221">
      <c r="A33" s="319" t="n"/>
      <c r="B33" s="324" t="n"/>
      <c r="C33" s="321" t="n"/>
      <c r="D33" s="322" t="n"/>
      <c r="E33" s="323" t="n"/>
      <c r="F33" s="323" t="n"/>
      <c r="G33" s="324" t="n"/>
      <c r="H33" s="322" t="n"/>
      <c r="I33" s="301" t="n"/>
      <c r="J33" s="301" t="n"/>
    </row>
    <row r="34" ht="15" customHeight="1" s="221">
      <c r="A34" s="313" t="n"/>
      <c r="B34" s="318" t="n"/>
      <c r="C34" s="315" t="n"/>
      <c r="D34" s="316" t="n"/>
      <c r="E34" s="317" t="n"/>
      <c r="F34" s="317" t="n"/>
      <c r="G34" s="318" t="n"/>
      <c r="H34" s="316" t="n"/>
      <c r="I34" s="301" t="n"/>
      <c r="J34" s="301" t="n"/>
    </row>
    <row r="35" ht="15" customHeight="1" s="221">
      <c r="A35" s="319" t="n"/>
      <c r="B35" s="324" t="n"/>
      <c r="C35" s="322" t="n"/>
      <c r="D35" s="322" t="n"/>
      <c r="E35" s="323" t="n"/>
      <c r="F35" s="323" t="n"/>
      <c r="G35" s="324" t="n"/>
      <c r="H35" s="322" t="n"/>
      <c r="I35" s="301" t="n"/>
      <c r="J35" s="301" t="n"/>
    </row>
    <row r="36" ht="15" customHeight="1" s="221">
      <c r="A36" s="313" t="n"/>
      <c r="B36" s="318" t="n"/>
      <c r="C36" s="316" t="n"/>
      <c r="D36" s="316" t="n"/>
      <c r="E36" s="317" t="n"/>
      <c r="F36" s="317" t="n"/>
      <c r="G36" s="318" t="n"/>
      <c r="H36" s="316" t="n"/>
      <c r="I36" s="301" t="n"/>
      <c r="J36" s="301" t="n"/>
    </row>
    <row r="37" ht="15" customHeight="1" s="221">
      <c r="A37" s="319" t="n"/>
      <c r="B37" s="324" t="n"/>
      <c r="C37" s="322" t="n"/>
      <c r="D37" s="322" t="n"/>
      <c r="E37" s="323" t="n"/>
      <c r="F37" s="323" t="n"/>
      <c r="G37" s="324" t="n"/>
      <c r="H37" s="322" t="n"/>
      <c r="I37" s="301" t="n"/>
      <c r="J37" s="301" t="n"/>
    </row>
    <row r="38" ht="15" customHeight="1" s="221">
      <c r="A38" s="313" t="n"/>
      <c r="B38" s="318" t="n"/>
      <c r="C38" s="316" t="n"/>
      <c r="D38" s="316" t="n"/>
      <c r="E38" s="317" t="n"/>
      <c r="F38" s="317" t="n"/>
      <c r="G38" s="318" t="n"/>
      <c r="H38" s="316" t="n"/>
      <c r="I38" s="301" t="n"/>
      <c r="J38" s="301" t="n"/>
    </row>
    <row r="39" ht="15" customHeight="1" s="221">
      <c r="A39" s="319" t="n"/>
      <c r="B39" s="324" t="n"/>
      <c r="C39" s="322" t="n"/>
      <c r="D39" s="322" t="n"/>
      <c r="E39" s="323" t="n"/>
      <c r="F39" s="323" t="n"/>
      <c r="G39" s="324" t="n"/>
      <c r="H39" s="322" t="n"/>
      <c r="I39" s="301" t="n"/>
      <c r="J39" s="301" t="n"/>
    </row>
    <row r="40" ht="15" customHeight="1" s="221">
      <c r="A40" s="313" t="n"/>
      <c r="B40" s="318" t="n"/>
      <c r="C40" s="316" t="n"/>
      <c r="D40" s="316" t="n"/>
      <c r="E40" s="317" t="n"/>
      <c r="F40" s="317" t="n"/>
      <c r="G40" s="318" t="n"/>
      <c r="H40" s="316" t="n"/>
      <c r="I40" s="301" t="n"/>
      <c r="J40" s="301" t="n"/>
    </row>
    <row r="41" ht="15" customHeight="1" s="221">
      <c r="A41" s="319" t="n"/>
      <c r="B41" s="324" t="n"/>
      <c r="C41" s="322" t="n"/>
      <c r="D41" s="322" t="n"/>
      <c r="E41" s="323" t="n"/>
      <c r="F41" s="323" t="n"/>
      <c r="G41" s="324" t="n"/>
      <c r="H41" s="322" t="n"/>
      <c r="I41" s="301" t="n"/>
      <c r="J41" s="301" t="n"/>
    </row>
    <row r="42" ht="15" customHeight="1" s="221">
      <c r="A42" s="313" t="n"/>
      <c r="B42" s="318" t="n"/>
      <c r="C42" s="316" t="n"/>
      <c r="D42" s="316" t="n"/>
      <c r="E42" s="317" t="n"/>
      <c r="F42" s="317" t="n"/>
      <c r="G42" s="318" t="n"/>
      <c r="H42" s="316" t="n"/>
      <c r="I42" s="301" t="n"/>
      <c r="J42" s="301" t="n"/>
    </row>
    <row r="43" ht="15" customHeight="1" s="221">
      <c r="A43" s="319" t="n"/>
      <c r="B43" s="324" t="n"/>
      <c r="C43" s="322" t="n"/>
      <c r="D43" s="322" t="n"/>
      <c r="E43" s="323" t="n"/>
      <c r="F43" s="323" t="n"/>
      <c r="G43" s="324" t="n"/>
      <c r="H43" s="322" t="n"/>
      <c r="I43" s="301" t="n"/>
      <c r="J43" s="301" t="n"/>
    </row>
    <row r="44" ht="15" customHeight="1" s="221">
      <c r="A44" s="313" t="n"/>
      <c r="B44" s="318" t="n"/>
      <c r="C44" s="316" t="n"/>
      <c r="D44" s="316" t="n"/>
      <c r="E44" s="317" t="n"/>
      <c r="F44" s="317" t="n"/>
      <c r="G44" s="318" t="n"/>
      <c r="H44" s="316" t="n"/>
      <c r="I44" s="301" t="n"/>
      <c r="J44" s="301" t="n"/>
    </row>
    <row r="45" ht="15" customHeight="1" s="221">
      <c r="A45" s="319" t="n"/>
      <c r="B45" s="324" t="n"/>
      <c r="C45" s="322" t="n"/>
      <c r="D45" s="322" t="n"/>
      <c r="E45" s="323" t="n"/>
      <c r="F45" s="323" t="n"/>
      <c r="G45" s="324" t="n"/>
      <c r="H45" s="322" t="n"/>
      <c r="I45" s="301" t="n"/>
      <c r="J45" s="301" t="n"/>
    </row>
    <row r="46" ht="15" customHeight="1" s="221">
      <c r="A46" s="313" t="n"/>
      <c r="B46" s="318" t="n"/>
      <c r="C46" s="316" t="n"/>
      <c r="D46" s="316" t="n"/>
      <c r="E46" s="317" t="n"/>
      <c r="F46" s="317" t="n"/>
      <c r="G46" s="318" t="n"/>
      <c r="H46" s="316" t="n"/>
      <c r="I46" s="301" t="n"/>
      <c r="J46" s="301" t="n"/>
    </row>
    <row r="47" ht="15" customHeight="1" s="221">
      <c r="A47" s="319" t="n"/>
      <c r="B47" s="324" t="n"/>
      <c r="C47" s="322" t="n"/>
      <c r="D47" s="322" t="n"/>
      <c r="E47" s="323" t="n"/>
      <c r="F47" s="323" t="n"/>
      <c r="G47" s="324" t="n"/>
      <c r="H47" s="322" t="n"/>
      <c r="I47" s="301" t="n"/>
      <c r="J47" s="301" t="n"/>
    </row>
    <row r="48" ht="15" customHeight="1" s="221">
      <c r="A48" s="313" t="n"/>
      <c r="B48" s="318" t="n"/>
      <c r="C48" s="316" t="n"/>
      <c r="D48" s="316" t="n"/>
      <c r="E48" s="317" t="n"/>
      <c r="F48" s="317" t="n"/>
      <c r="G48" s="318" t="n"/>
      <c r="H48" s="316" t="n"/>
      <c r="I48" s="301" t="n"/>
      <c r="J48" s="301" t="n"/>
    </row>
    <row r="49" ht="15" customHeight="1" s="221">
      <c r="A49" s="319" t="n"/>
      <c r="B49" s="324" t="n"/>
      <c r="C49" s="322" t="n"/>
      <c r="D49" s="322" t="n"/>
      <c r="E49" s="323" t="n"/>
      <c r="F49" s="323" t="n"/>
      <c r="G49" s="324" t="n"/>
      <c r="H49" s="322" t="n"/>
      <c r="I49" s="301" t="n"/>
      <c r="J49" s="301" t="n"/>
    </row>
    <row r="50" ht="15" customHeight="1" s="221">
      <c r="A50" s="313" t="n"/>
      <c r="B50" s="318" t="n"/>
      <c r="C50" s="316" t="n"/>
      <c r="D50" s="316" t="n"/>
      <c r="E50" s="317" t="n"/>
      <c r="F50" s="317" t="n"/>
      <c r="G50" s="318" t="n"/>
      <c r="H50" s="316" t="n"/>
      <c r="I50" s="301" t="n"/>
      <c r="J50" s="301" t="n"/>
    </row>
    <row r="51" ht="15" customHeight="1" s="221">
      <c r="A51" s="319" t="n"/>
      <c r="B51" s="324" t="n"/>
      <c r="C51" s="322" t="n"/>
      <c r="D51" s="322" t="n"/>
      <c r="E51" s="323" t="n"/>
      <c r="F51" s="323" t="n"/>
      <c r="G51" s="324" t="n"/>
      <c r="H51" s="322" t="n"/>
      <c r="I51" s="301" t="n"/>
      <c r="J51" s="301" t="n"/>
    </row>
    <row r="52" ht="15" customHeight="1" s="221">
      <c r="A52" s="313" t="n"/>
      <c r="B52" s="318" t="n"/>
      <c r="C52" s="316" t="n"/>
      <c r="D52" s="316" t="n"/>
      <c r="E52" s="317" t="n"/>
      <c r="F52" s="317" t="n"/>
      <c r="G52" s="318" t="n"/>
      <c r="H52" s="316" t="n"/>
      <c r="I52" s="301" t="n"/>
      <c r="J52" s="301" t="n"/>
    </row>
    <row r="53" ht="15" customHeight="1" s="221">
      <c r="A53" s="319" t="n"/>
      <c r="B53" s="324" t="n"/>
      <c r="C53" s="322" t="n"/>
      <c r="D53" s="322" t="n"/>
      <c r="E53" s="323" t="n"/>
      <c r="F53" s="323" t="n"/>
      <c r="G53" s="324" t="n"/>
      <c r="H53" s="322" t="n"/>
      <c r="I53" s="301" t="n"/>
      <c r="J53" s="301" t="n"/>
    </row>
    <row r="54" ht="15" customHeight="1" s="221">
      <c r="A54" s="313" t="n"/>
      <c r="B54" s="318" t="n"/>
      <c r="C54" s="316" t="n"/>
      <c r="D54" s="316" t="n"/>
      <c r="E54" s="317" t="n"/>
      <c r="F54" s="317" t="n"/>
      <c r="G54" s="318" t="n"/>
      <c r="H54" s="316" t="n"/>
      <c r="I54" s="301" t="n"/>
      <c r="J54" s="301" t="n"/>
    </row>
    <row r="55" ht="15" customHeight="1" s="221">
      <c r="A55" s="319" t="n"/>
      <c r="B55" s="324" t="n"/>
      <c r="C55" s="322" t="n"/>
      <c r="D55" s="322" t="n"/>
      <c r="E55" s="323" t="n"/>
      <c r="F55" s="323" t="n"/>
      <c r="G55" s="324" t="n"/>
      <c r="H55" s="322" t="n"/>
      <c r="I55" s="301" t="n"/>
      <c r="J55" s="301" t="n"/>
    </row>
    <row r="56" ht="15" customHeight="1" s="221">
      <c r="A56" s="313" t="n"/>
      <c r="B56" s="318" t="n"/>
      <c r="C56" s="316" t="n"/>
      <c r="D56" s="316" t="n"/>
      <c r="E56" s="317" t="n"/>
      <c r="F56" s="317" t="n"/>
      <c r="G56" s="318" t="n"/>
      <c r="H56" s="316" t="n"/>
      <c r="I56" s="301" t="n"/>
      <c r="J56" s="301" t="n"/>
    </row>
    <row r="57" ht="15" customHeight="1" s="221">
      <c r="A57" s="319" t="n"/>
      <c r="B57" s="324" t="n"/>
      <c r="C57" s="322" t="n"/>
      <c r="D57" s="322" t="n"/>
      <c r="E57" s="323" t="n"/>
      <c r="F57" s="323" t="n"/>
      <c r="G57" s="324" t="n"/>
      <c r="H57" s="322" t="n"/>
      <c r="I57" s="301" t="n"/>
      <c r="J57" s="301" t="n"/>
    </row>
    <row r="58" ht="15" customHeight="1" s="221">
      <c r="A58" s="313" t="n"/>
      <c r="B58" s="318" t="n"/>
      <c r="C58" s="316" t="n"/>
      <c r="D58" s="316" t="n"/>
      <c r="E58" s="317" t="n"/>
      <c r="F58" s="317" t="n"/>
      <c r="G58" s="318" t="n"/>
      <c r="H58" s="316" t="n"/>
      <c r="I58" s="301" t="n"/>
      <c r="J58" s="301" t="n"/>
    </row>
    <row r="59" ht="15" customHeight="1" s="221">
      <c r="A59" s="319" t="n"/>
      <c r="B59" s="324" t="n"/>
      <c r="C59" s="322" t="n"/>
      <c r="D59" s="322" t="n"/>
      <c r="E59" s="323" t="n"/>
      <c r="F59" s="323" t="n"/>
      <c r="G59" s="324" t="n"/>
      <c r="H59" s="322" t="n"/>
      <c r="I59" s="301" t="n"/>
      <c r="J59" s="301" t="n"/>
    </row>
    <row r="60" ht="15" customHeight="1" s="221">
      <c r="A60" s="313" t="n"/>
      <c r="B60" s="318" t="n"/>
      <c r="C60" s="316" t="n"/>
      <c r="D60" s="316" t="n"/>
      <c r="E60" s="317" t="n"/>
      <c r="F60" s="317" t="n"/>
      <c r="G60" s="318" t="n"/>
      <c r="H60" s="316" t="n"/>
      <c r="I60" s="301" t="n"/>
      <c r="J60" s="301" t="n"/>
    </row>
    <row r="61" ht="15" customHeight="1" s="221">
      <c r="A61" s="319" t="n"/>
      <c r="B61" s="324" t="n"/>
      <c r="C61" s="322" t="n"/>
      <c r="D61" s="322" t="n"/>
      <c r="E61" s="323" t="n"/>
      <c r="F61" s="323" t="n"/>
      <c r="G61" s="324" t="n"/>
      <c r="H61" s="322" t="n"/>
      <c r="I61" s="301" t="n"/>
      <c r="J61" s="301" t="n"/>
    </row>
    <row r="62" ht="15" customHeight="1" s="221">
      <c r="A62" s="313" t="n"/>
      <c r="B62" s="318" t="n"/>
      <c r="C62" s="316" t="n"/>
      <c r="D62" s="316" t="n"/>
      <c r="E62" s="317" t="n"/>
      <c r="F62" s="317" t="n"/>
      <c r="G62" s="318" t="n"/>
      <c r="H62" s="316" t="n"/>
      <c r="I62" s="301" t="n"/>
      <c r="J62" s="301" t="n"/>
    </row>
    <row r="63" ht="15" customHeight="1" s="221">
      <c r="A63" s="319" t="n"/>
      <c r="B63" s="324" t="n"/>
      <c r="C63" s="322" t="n"/>
      <c r="D63" s="322" t="n"/>
      <c r="E63" s="323" t="n"/>
      <c r="F63" s="323" t="n"/>
      <c r="G63" s="324" t="n"/>
      <c r="H63" s="322" t="n"/>
      <c r="I63" s="301" t="n"/>
      <c r="J63" s="301" t="n"/>
    </row>
    <row r="64" ht="15" customHeight="1" s="221">
      <c r="A64" s="313" t="n"/>
      <c r="B64" s="318" t="n"/>
      <c r="C64" s="316" t="n"/>
      <c r="D64" s="316" t="n"/>
      <c r="E64" s="317" t="n"/>
      <c r="F64" s="317" t="n"/>
      <c r="G64" s="318" t="n"/>
      <c r="H64" s="316" t="n"/>
      <c r="I64" s="301" t="n"/>
      <c r="J64" s="301" t="n"/>
    </row>
    <row r="65" ht="15" customHeight="1" s="221">
      <c r="A65" s="319" t="n"/>
      <c r="B65" s="324" t="n"/>
      <c r="C65" s="322" t="n"/>
      <c r="D65" s="322" t="n"/>
      <c r="E65" s="323" t="n"/>
      <c r="F65" s="323" t="n"/>
      <c r="G65" s="324" t="n"/>
      <c r="H65" s="322" t="n"/>
      <c r="I65" s="301" t="n"/>
      <c r="J65" s="301" t="n"/>
    </row>
    <row r="66" ht="15" customHeight="1" s="221">
      <c r="A66" s="313" t="n"/>
      <c r="B66" s="318" t="n"/>
      <c r="C66" s="316" t="n"/>
      <c r="D66" s="316" t="n"/>
      <c r="E66" s="317" t="n"/>
      <c r="F66" s="317" t="n"/>
      <c r="G66" s="318" t="n"/>
      <c r="H66" s="316" t="n"/>
      <c r="I66" s="301" t="n"/>
      <c r="J66" s="301" t="n"/>
    </row>
    <row r="67" ht="15" customHeight="1" s="221">
      <c r="A67" s="319" t="n"/>
      <c r="B67" s="324" t="n"/>
      <c r="C67" s="322" t="n"/>
      <c r="D67" s="322" t="n"/>
      <c r="E67" s="323" t="n"/>
      <c r="F67" s="323" t="n"/>
      <c r="G67" s="324" t="n"/>
      <c r="H67" s="322" t="n"/>
      <c r="I67" s="301" t="n"/>
      <c r="J67" s="301" t="n"/>
    </row>
    <row r="68" ht="15" customHeight="1" s="221">
      <c r="A68" s="313" t="n"/>
      <c r="B68" s="318" t="n"/>
      <c r="C68" s="316" t="n"/>
      <c r="D68" s="316" t="n"/>
      <c r="E68" s="317" t="n"/>
      <c r="F68" s="317" t="n"/>
      <c r="G68" s="318" t="n"/>
      <c r="H68" s="316" t="n"/>
      <c r="I68" s="301" t="n"/>
      <c r="J68" s="301" t="n"/>
    </row>
    <row r="69" ht="15" customHeight="1" s="221">
      <c r="A69" s="319" t="n"/>
      <c r="B69" s="324" t="n"/>
      <c r="C69" s="322" t="n"/>
      <c r="D69" s="322" t="n"/>
      <c r="E69" s="323" t="n"/>
      <c r="F69" s="323" t="n"/>
      <c r="G69" s="324" t="n"/>
      <c r="H69" s="322" t="n"/>
      <c r="I69" s="301" t="n"/>
      <c r="J69" s="301" t="n"/>
    </row>
    <row r="70" ht="15" customHeight="1" s="221">
      <c r="A70" s="313" t="n"/>
      <c r="B70" s="318" t="n"/>
      <c r="C70" s="316" t="n"/>
      <c r="D70" s="316" t="n"/>
      <c r="E70" s="317" t="n"/>
      <c r="F70" s="317" t="n"/>
      <c r="G70" s="318" t="n"/>
      <c r="H70" s="316" t="n"/>
      <c r="I70" s="301" t="n"/>
      <c r="J70" s="301" t="n"/>
    </row>
    <row r="71" ht="15" customHeight="1" s="221">
      <c r="A71" s="319" t="n"/>
      <c r="B71" s="324" t="n"/>
      <c r="C71" s="322" t="n"/>
      <c r="D71" s="322" t="n"/>
      <c r="E71" s="323" t="n"/>
      <c r="F71" s="323" t="n"/>
      <c r="G71" s="324" t="n"/>
      <c r="H71" s="322" t="n"/>
      <c r="I71" s="301" t="n"/>
      <c r="J71" s="301" t="n"/>
    </row>
    <row r="72" ht="15" customHeight="1" s="221">
      <c r="A72" s="313" t="n"/>
      <c r="B72" s="318" t="n"/>
      <c r="C72" s="316" t="n"/>
      <c r="D72" s="316" t="n"/>
      <c r="E72" s="317" t="n"/>
      <c r="F72" s="317" t="n"/>
      <c r="G72" s="318" t="n"/>
      <c r="H72" s="316" t="n"/>
      <c r="I72" s="301" t="n"/>
      <c r="J72" s="301" t="n"/>
    </row>
    <row r="73" ht="15" customHeight="1" s="221">
      <c r="A73" s="319" t="n"/>
      <c r="B73" s="324" t="n"/>
      <c r="C73" s="322" t="n"/>
      <c r="D73" s="322" t="n"/>
      <c r="E73" s="323" t="n"/>
      <c r="F73" s="323" t="n"/>
      <c r="G73" s="324" t="n"/>
      <c r="H73" s="322" t="n"/>
      <c r="I73" s="301" t="n"/>
      <c r="J73" s="301" t="n"/>
    </row>
    <row r="74" ht="15" customHeight="1" s="221">
      <c r="A74" s="313" t="n"/>
      <c r="B74" s="318" t="n"/>
      <c r="C74" s="316" t="n"/>
      <c r="D74" s="316" t="n"/>
      <c r="E74" s="317" t="n"/>
      <c r="F74" s="317" t="n"/>
      <c r="G74" s="318" t="n"/>
      <c r="H74" s="316" t="n"/>
      <c r="I74" s="301" t="n"/>
      <c r="J74" s="301" t="n"/>
    </row>
    <row r="75" ht="15" customHeight="1" s="221">
      <c r="A75" s="319" t="n"/>
      <c r="B75" s="324" t="n"/>
      <c r="C75" s="322" t="n"/>
      <c r="D75" s="322" t="n"/>
      <c r="E75" s="323" t="n"/>
      <c r="F75" s="323" t="n"/>
      <c r="G75" s="324" t="n"/>
      <c r="H75" s="322" t="n"/>
      <c r="I75" s="301" t="n"/>
      <c r="J75" s="301" t="n"/>
    </row>
    <row r="76" ht="15" customHeight="1" s="221">
      <c r="A76" s="313" t="n"/>
      <c r="B76" s="318" t="n"/>
      <c r="C76" s="316" t="n"/>
      <c r="D76" s="316" t="n"/>
      <c r="E76" s="317" t="n"/>
      <c r="F76" s="317" t="n"/>
      <c r="G76" s="318" t="n"/>
      <c r="H76" s="316" t="n"/>
      <c r="I76" s="301" t="n"/>
      <c r="J76" s="301" t="n"/>
    </row>
    <row r="77" ht="15" customHeight="1" s="221">
      <c r="A77" s="319" t="n"/>
      <c r="B77" s="324" t="n"/>
      <c r="C77" s="322" t="n"/>
      <c r="D77" s="322" t="n"/>
      <c r="E77" s="323" t="n"/>
      <c r="F77" s="323" t="n"/>
      <c r="G77" s="324" t="n"/>
      <c r="H77" s="322" t="n"/>
      <c r="I77" s="301" t="n"/>
      <c r="J77" s="301" t="n"/>
    </row>
    <row r="78" ht="15" customHeight="1" s="221">
      <c r="A78" s="313" t="n"/>
      <c r="B78" s="318" t="n"/>
      <c r="C78" s="316" t="n"/>
      <c r="D78" s="316" t="n"/>
      <c r="E78" s="317" t="n"/>
      <c r="F78" s="317" t="n"/>
      <c r="G78" s="318" t="n"/>
      <c r="H78" s="316" t="n"/>
      <c r="I78" s="301" t="n"/>
      <c r="J78" s="301" t="n"/>
    </row>
    <row r="79" ht="15" customHeight="1" s="221">
      <c r="A79" s="319" t="n"/>
      <c r="B79" s="324" t="n"/>
      <c r="C79" s="322" t="n"/>
      <c r="D79" s="322" t="n"/>
      <c r="E79" s="323" t="n"/>
      <c r="F79" s="323" t="n"/>
      <c r="G79" s="324" t="n"/>
      <c r="H79" s="322" t="n"/>
      <c r="I79" s="301" t="n"/>
      <c r="J79" s="301" t="n"/>
    </row>
    <row r="80" ht="15" customHeight="1" s="221">
      <c r="A80" s="313" t="n"/>
      <c r="B80" s="318" t="n"/>
      <c r="C80" s="316" t="n"/>
      <c r="D80" s="316" t="n"/>
      <c r="E80" s="317" t="n"/>
      <c r="F80" s="317" t="n"/>
      <c r="G80" s="318" t="n"/>
      <c r="H80" s="316" t="n"/>
      <c r="I80" s="301" t="n"/>
      <c r="J80" s="301" t="n"/>
    </row>
    <row r="81" ht="15" customHeight="1" s="221">
      <c r="A81" s="319" t="n"/>
      <c r="B81" s="324" t="n"/>
      <c r="C81" s="322" t="n"/>
      <c r="D81" s="322" t="n"/>
      <c r="E81" s="323" t="n"/>
      <c r="F81" s="323" t="n"/>
      <c r="G81" s="324" t="n"/>
      <c r="H81" s="322" t="n"/>
      <c r="I81" s="301" t="n"/>
      <c r="J81" s="301" t="n"/>
    </row>
    <row r="82" ht="15" customHeight="1" s="221">
      <c r="A82" s="313" t="n"/>
      <c r="B82" s="318" t="n"/>
      <c r="C82" s="316" t="n"/>
      <c r="D82" s="316" t="n"/>
      <c r="E82" s="317" t="n"/>
      <c r="F82" s="317" t="n"/>
      <c r="G82" s="318" t="n"/>
      <c r="H82" s="316" t="n"/>
      <c r="I82" s="301" t="n"/>
      <c r="J82" s="301" t="n"/>
    </row>
    <row r="83" ht="15" customHeight="1" s="221">
      <c r="A83" s="319" t="n"/>
      <c r="B83" s="324" t="n"/>
      <c r="C83" s="322" t="n"/>
      <c r="D83" s="322" t="n"/>
      <c r="E83" s="323" t="n"/>
      <c r="F83" s="323" t="n"/>
      <c r="G83" s="324" t="n"/>
      <c r="H83" s="322" t="n"/>
      <c r="I83" s="301" t="n"/>
      <c r="J83" s="301" t="n"/>
    </row>
    <row r="84" ht="15" customHeight="1" s="221">
      <c r="A84" s="313" t="n"/>
      <c r="B84" s="318" t="n"/>
      <c r="C84" s="316" t="n"/>
      <c r="D84" s="316" t="n"/>
      <c r="E84" s="317" t="n"/>
      <c r="F84" s="317" t="n"/>
      <c r="G84" s="318" t="n"/>
      <c r="H84" s="316" t="n"/>
      <c r="I84" s="301" t="n"/>
      <c r="J84" s="301" t="n"/>
    </row>
    <row r="85" ht="15" customHeight="1" s="221">
      <c r="A85" s="319" t="n"/>
      <c r="B85" s="324" t="n"/>
      <c r="C85" s="322" t="n"/>
      <c r="D85" s="322" t="n"/>
      <c r="E85" s="323" t="n"/>
      <c r="F85" s="323" t="n"/>
      <c r="G85" s="324" t="n"/>
      <c r="H85" s="322" t="n"/>
      <c r="I85" s="301" t="n"/>
      <c r="J85" s="301" t="n"/>
    </row>
    <row r="86" ht="15" customHeight="1" s="221">
      <c r="A86" s="313" t="n"/>
      <c r="B86" s="318" t="n"/>
      <c r="C86" s="316" t="n"/>
      <c r="D86" s="316" t="n"/>
      <c r="E86" s="317" t="n"/>
      <c r="F86" s="317" t="n"/>
      <c r="G86" s="318" t="n"/>
      <c r="H86" s="316" t="n"/>
      <c r="I86" s="301" t="n"/>
      <c r="J86" s="301" t="n"/>
    </row>
    <row r="87" ht="15" customHeight="1" s="221">
      <c r="A87" s="319" t="n"/>
      <c r="B87" s="324" t="n"/>
      <c r="C87" s="322" t="n"/>
      <c r="D87" s="322" t="n"/>
      <c r="E87" s="323" t="n"/>
      <c r="F87" s="323" t="n"/>
      <c r="G87" s="324" t="n"/>
      <c r="H87" s="322" t="n"/>
      <c r="I87" s="301" t="n"/>
      <c r="J87" s="301" t="n"/>
    </row>
    <row r="88" ht="15" customHeight="1" s="221">
      <c r="A88" s="313" t="n"/>
      <c r="B88" s="318" t="n"/>
      <c r="C88" s="316" t="n"/>
      <c r="D88" s="316" t="n"/>
      <c r="E88" s="317" t="n"/>
      <c r="F88" s="317" t="n"/>
      <c r="G88" s="318" t="n"/>
      <c r="H88" s="316" t="n"/>
      <c r="I88" s="301" t="n"/>
      <c r="J88" s="301" t="n"/>
    </row>
    <row r="89" ht="15" customHeight="1" s="221">
      <c r="A89" s="319" t="n"/>
      <c r="B89" s="324" t="n"/>
      <c r="C89" s="322" t="n"/>
      <c r="D89" s="322" t="n"/>
      <c r="E89" s="323" t="n"/>
      <c r="F89" s="323" t="n"/>
      <c r="G89" s="324" t="n"/>
      <c r="H89" s="322" t="n"/>
      <c r="I89" s="301" t="n"/>
      <c r="J89" s="301" t="n"/>
    </row>
    <row r="90" ht="15" customHeight="1" s="221">
      <c r="A90" s="313" t="n"/>
      <c r="B90" s="318" t="n"/>
      <c r="C90" s="316" t="n"/>
      <c r="D90" s="316" t="n"/>
      <c r="E90" s="317" t="n"/>
      <c r="F90" s="317" t="n"/>
      <c r="G90" s="318" t="n"/>
      <c r="H90" s="316" t="n"/>
      <c r="I90" s="301" t="n"/>
      <c r="J90" s="301" t="n"/>
    </row>
    <row r="91" ht="15" customHeight="1" s="221">
      <c r="A91" s="319" t="n"/>
      <c r="B91" s="324" t="n"/>
      <c r="C91" s="322" t="n"/>
      <c r="D91" s="322" t="n"/>
      <c r="E91" s="323" t="n"/>
      <c r="F91" s="323" t="n"/>
      <c r="G91" s="324" t="n"/>
      <c r="H91" s="322" t="n"/>
      <c r="I91" s="301" t="n"/>
      <c r="J91" s="301" t="n"/>
    </row>
    <row r="92" ht="15" customHeight="1" s="221">
      <c r="A92" s="313" t="n"/>
      <c r="B92" s="318" t="n"/>
      <c r="C92" s="316" t="n"/>
      <c r="D92" s="316" t="n"/>
      <c r="E92" s="317" t="n"/>
      <c r="F92" s="317" t="n"/>
      <c r="G92" s="318" t="n"/>
      <c r="H92" s="316" t="n"/>
      <c r="I92" s="301" t="n"/>
      <c r="J92" s="301" t="n"/>
    </row>
    <row r="93" ht="15" customHeight="1" s="221">
      <c r="A93" s="319" t="n"/>
      <c r="B93" s="324" t="n"/>
      <c r="C93" s="322" t="n"/>
      <c r="D93" s="322" t="n"/>
      <c r="E93" s="323" t="n"/>
      <c r="F93" s="323" t="n"/>
      <c r="G93" s="324" t="n"/>
      <c r="H93" s="322" t="n"/>
      <c r="I93" s="301" t="n"/>
      <c r="J93" s="301" t="n"/>
    </row>
    <row r="94" ht="15" customHeight="1" s="221">
      <c r="A94" s="313" t="n"/>
      <c r="B94" s="318" t="n"/>
      <c r="C94" s="316" t="n"/>
      <c r="D94" s="316" t="n"/>
      <c r="E94" s="317" t="n"/>
      <c r="F94" s="317" t="n"/>
      <c r="G94" s="318" t="n"/>
      <c r="H94" s="316" t="n"/>
      <c r="I94" s="301" t="n"/>
      <c r="J94" s="301" t="n"/>
    </row>
    <row r="95" ht="15" customHeight="1" s="221">
      <c r="A95" s="319" t="n"/>
      <c r="B95" s="324" t="n"/>
      <c r="C95" s="322" t="n"/>
      <c r="D95" s="322" t="n"/>
      <c r="E95" s="323" t="n"/>
      <c r="F95" s="323" t="n"/>
      <c r="G95" s="324" t="n"/>
      <c r="H95" s="322" t="n"/>
      <c r="I95" s="301" t="n"/>
      <c r="J95" s="301" t="n"/>
    </row>
    <row r="96" ht="15" customHeight="1" s="221">
      <c r="A96" s="313" t="n"/>
      <c r="B96" s="318" t="n"/>
      <c r="C96" s="316" t="n"/>
      <c r="D96" s="316" t="n"/>
      <c r="E96" s="317" t="n"/>
      <c r="F96" s="317" t="n"/>
      <c r="G96" s="318" t="n"/>
      <c r="H96" s="316" t="n"/>
      <c r="I96" s="301" t="n"/>
      <c r="J96" s="301" t="n"/>
    </row>
    <row r="97" ht="15" customHeight="1" s="221">
      <c r="A97" s="319" t="n"/>
      <c r="B97" s="324" t="n"/>
      <c r="C97" s="322" t="n"/>
      <c r="D97" s="322" t="n"/>
      <c r="E97" s="323" t="n"/>
      <c r="F97" s="323" t="n"/>
      <c r="G97" s="324" t="n"/>
      <c r="H97" s="322" t="n"/>
      <c r="I97" s="301" t="n"/>
      <c r="J97" s="301" t="n"/>
    </row>
    <row r="98" ht="15" customHeight="1" s="221">
      <c r="A98" s="313" t="n"/>
      <c r="B98" s="318" t="n"/>
      <c r="C98" s="316" t="n"/>
      <c r="D98" s="316" t="n"/>
      <c r="E98" s="317" t="n"/>
      <c r="F98" s="317" t="n"/>
      <c r="G98" s="318" t="n"/>
      <c r="H98" s="316" t="n"/>
      <c r="I98" s="301" t="n"/>
      <c r="J98" s="301" t="n"/>
    </row>
    <row r="99" ht="15" customHeight="1" s="221">
      <c r="A99" s="319" t="n"/>
      <c r="B99" s="324" t="n"/>
      <c r="C99" s="322" t="n"/>
      <c r="D99" s="322" t="n"/>
      <c r="E99" s="323" t="n"/>
      <c r="F99" s="323" t="n"/>
      <c r="G99" s="324" t="n"/>
      <c r="H99" s="322" t="n"/>
      <c r="I99" s="301" t="n"/>
      <c r="J99" s="301" t="n"/>
    </row>
    <row r="100" ht="15" customHeight="1" s="221">
      <c r="A100" s="313" t="n"/>
      <c r="B100" s="318" t="n"/>
      <c r="C100" s="316" t="n"/>
      <c r="D100" s="316" t="n"/>
      <c r="E100" s="317" t="n"/>
      <c r="F100" s="317" t="n"/>
      <c r="G100" s="318" t="n"/>
      <c r="H100" s="316" t="n"/>
      <c r="I100" s="301" t="n"/>
      <c r="J100" s="301" t="n"/>
    </row>
    <row r="101" ht="15" customHeight="1" s="221">
      <c r="A101" s="319" t="n"/>
      <c r="B101" s="324" t="n"/>
      <c r="C101" s="322" t="n"/>
      <c r="D101" s="322" t="n"/>
      <c r="E101" s="323" t="n"/>
      <c r="F101" s="323" t="n"/>
      <c r="G101" s="324" t="n"/>
      <c r="H101" s="322" t="n"/>
      <c r="I101" s="301" t="n"/>
      <c r="J101" s="301" t="n"/>
    </row>
    <row r="102" ht="15" customHeight="1" s="221">
      <c r="A102" s="313" t="n"/>
      <c r="B102" s="318" t="n"/>
      <c r="C102" s="316" t="n"/>
      <c r="D102" s="316" t="n"/>
      <c r="E102" s="317" t="n"/>
      <c r="F102" s="317" t="n"/>
      <c r="G102" s="318" t="n"/>
      <c r="H102" s="316" t="n"/>
      <c r="I102" s="301" t="n"/>
      <c r="J102" s="301" t="n"/>
    </row>
    <row r="103" ht="15" customHeight="1" s="221">
      <c r="A103" s="319" t="n"/>
      <c r="B103" s="324" t="n"/>
      <c r="C103" s="322" t="n"/>
      <c r="D103" s="322" t="n"/>
      <c r="E103" s="323" t="n"/>
      <c r="F103" s="323" t="n"/>
      <c r="G103" s="324" t="n"/>
      <c r="H103" s="322" t="n"/>
      <c r="I103" s="301" t="n"/>
      <c r="J103" s="301" t="n"/>
    </row>
    <row r="104" ht="15" customHeight="1" s="221">
      <c r="A104" s="325" t="inlineStr">
        <is>
          <t>TOTALES</t>
        </is>
      </c>
      <c r="E104" s="326">
        <f>SUM(E4:E103)</f>
        <v/>
      </c>
      <c r="F104" s="327">
        <f>SUM(F4:F103)</f>
        <v/>
      </c>
      <c r="G104" s="301" t="n"/>
      <c r="H104" s="301" t="n"/>
      <c r="I104" s="301" t="n"/>
      <c r="J104" s="301" t="n"/>
    </row>
    <row r="105" ht="18" customHeight="1" s="221">
      <c r="A105" s="301" t="n"/>
      <c r="B105" s="301" t="n"/>
      <c r="C105" s="301" t="n"/>
      <c r="D105" s="301" t="n"/>
      <c r="E105" s="328" t="n"/>
      <c r="F105" s="301" t="n"/>
      <c r="G105" s="301" t="n"/>
      <c r="H105" s="301" t="n"/>
      <c r="I105" s="301" t="n"/>
      <c r="J105" s="301" t="n"/>
    </row>
    <row r="106" ht="15" customHeight="1" s="221">
      <c r="A106" s="310" t="inlineStr">
        <is>
          <t>📊 RESUMEN DEL MES</t>
        </is>
      </c>
      <c r="D106" s="301" t="n"/>
      <c r="E106" s="328" t="n"/>
      <c r="F106" s="301" t="n"/>
      <c r="G106" s="301" t="n"/>
      <c r="H106" s="301" t="n"/>
      <c r="I106" s="301" t="n"/>
      <c r="J106" s="301" t="n"/>
    </row>
    <row r="107" ht="15" customHeight="1" s="221">
      <c r="A107" s="223" t="inlineStr">
        <is>
          <t>INGRESOS:</t>
        </is>
      </c>
      <c r="B107" s="301" t="n"/>
      <c r="C107" s="328">
        <f>SUMIF(B4:B103,"Ingreso NT",E4:E103)</f>
        <v/>
      </c>
      <c r="D107" s="301" t="n"/>
      <c r="E107" s="328" t="n"/>
      <c r="F107" s="301" t="n"/>
      <c r="G107" s="301" t="n"/>
      <c r="H107" s="301" t="n"/>
      <c r="I107" s="301" t="n"/>
      <c r="J107" s="301" t="n"/>
    </row>
    <row r="108" ht="15" customHeight="1" s="221">
      <c r="A108" s="301" t="inlineStr">
        <is>
          <t xml:space="preserve">  Ingreso NT:</t>
        </is>
      </c>
      <c r="B108" s="301" t="n"/>
      <c r="C108" s="329">
        <f>SUMIF(B4:B103,"Ingreso NT",E4:E103)</f>
        <v/>
      </c>
      <c r="D108" s="301" t="n"/>
      <c r="E108" s="328" t="n"/>
      <c r="F108" s="301" t="n"/>
      <c r="G108" s="301" t="n"/>
      <c r="H108" s="301" t="n"/>
      <c r="I108" s="301" t="n"/>
      <c r="J108" s="301" t="n"/>
    </row>
    <row r="109" ht="15" customHeight="1" s="221">
      <c r="A109" s="301" t="inlineStr">
        <is>
          <t xml:space="preserve">  Ingreso Marco:</t>
        </is>
      </c>
      <c r="B109" s="301" t="n"/>
      <c r="C109" s="330">
        <f>SUMIF(B4:B103,"Ingreso Marco",E4:E103)</f>
        <v/>
      </c>
      <c r="D109" s="301" t="n"/>
      <c r="E109" s="328" t="n"/>
      <c r="F109" s="301" t="n"/>
      <c r="G109" s="301" t="n"/>
      <c r="H109" s="301" t="n"/>
      <c r="I109" s="301" t="n"/>
      <c r="J109" s="301" t="n"/>
    </row>
    <row r="110" ht="15" customHeight="1" s="221">
      <c r="A110" s="301" t="inlineStr">
        <is>
          <t xml:space="preserve">  Ingreso Clara:</t>
        </is>
      </c>
      <c r="B110" s="301" t="n"/>
      <c r="C110" s="331">
        <f>SUMIF(B4:B103,"Ingreso Clara",E4:E103)</f>
        <v/>
      </c>
      <c r="D110" s="301" t="n"/>
      <c r="E110" s="328" t="n"/>
      <c r="F110" s="301" t="n"/>
      <c r="G110" s="301" t="n"/>
      <c r="H110" s="301" t="n"/>
      <c r="I110" s="301" t="n"/>
      <c r="J110" s="301" t="n"/>
    </row>
    <row r="111" ht="15" customHeight="1" s="221">
      <c r="A111" s="301" t="inlineStr">
        <is>
          <t xml:space="preserve">  Devolución Fam → NT:</t>
        </is>
      </c>
      <c r="B111" s="301" t="n"/>
      <c r="C111" s="332">
        <f>SUMIF(B4:B103,"Devolución Familia → NT",E4:E103)</f>
        <v/>
      </c>
      <c r="D111" s="301" t="n"/>
      <c r="E111" s="328" t="n"/>
      <c r="F111" s="301" t="n"/>
      <c r="G111" s="301" t="n"/>
      <c r="H111" s="301" t="n"/>
      <c r="I111" s="301" t="n"/>
      <c r="J111" s="301" t="n"/>
    </row>
    <row r="112" ht="15" customHeight="1" s="221">
      <c r="A112" s="223" t="inlineStr">
        <is>
          <t xml:space="preserve">  TOTAL INGRESOS:</t>
        </is>
      </c>
      <c r="B112" s="301" t="n"/>
      <c r="C112" s="333">
        <f>SUM(C108:C111)</f>
        <v/>
      </c>
      <c r="D112" s="301" t="n"/>
      <c r="E112" s="328" t="n"/>
      <c r="F112" s="301" t="n"/>
      <c r="G112" s="301" t="n"/>
      <c r="H112" s="301" t="n"/>
      <c r="I112" s="301" t="n"/>
      <c r="J112" s="301" t="n"/>
    </row>
    <row r="113" ht="15" customHeight="1" s="221">
      <c r="A113" s="301" t="inlineStr">
        <is>
          <t>EGRESOS:</t>
        </is>
      </c>
      <c r="B113" s="301" t="n"/>
      <c r="C113" s="301" t="n"/>
      <c r="D113" s="301" t="n"/>
      <c r="E113" s="328" t="n"/>
      <c r="F113" s="301" t="n"/>
      <c r="G113" s="301" t="n"/>
      <c r="H113" s="301" t="n"/>
      <c r="I113" s="301" t="n"/>
      <c r="J113" s="301" t="n"/>
    </row>
    <row r="114" ht="15" customHeight="1" s="221">
      <c r="A114" s="223" t="inlineStr">
        <is>
          <t>EGRESOS:</t>
        </is>
      </c>
      <c r="B114" s="301" t="n"/>
      <c r="C114" s="328">
        <f>SUMIF(B4:B103,"Egreso NT",F4:F103)</f>
        <v/>
      </c>
      <c r="D114" s="301" t="n"/>
      <c r="E114" s="328" t="n"/>
      <c r="F114" s="301" t="n"/>
      <c r="G114" s="301" t="n"/>
      <c r="H114" s="301" t="n"/>
      <c r="I114" s="301" t="n"/>
      <c r="J114" s="301" t="n"/>
    </row>
    <row r="115" ht="15" customHeight="1" s="221">
      <c r="A115" s="301" t="inlineStr">
        <is>
          <t xml:space="preserve">  Egreso NT:</t>
        </is>
      </c>
      <c r="B115" s="301" t="n"/>
      <c r="C115" s="334">
        <f>SUMIF(B4:B103,"Egreso NT",F4:F103)</f>
        <v/>
      </c>
      <c r="D115" s="301" t="n"/>
      <c r="E115" s="328" t="n"/>
      <c r="F115" s="301" t="n"/>
      <c r="G115" s="301" t="n"/>
      <c r="H115" s="301" t="n"/>
      <c r="I115" s="301" t="n"/>
      <c r="J115" s="301" t="n"/>
    </row>
    <row r="116" ht="15" customHeight="1" s="221">
      <c r="A116" s="301" t="inlineStr">
        <is>
          <t xml:space="preserve">  Egreso Familiar:</t>
        </is>
      </c>
      <c r="B116" s="301" t="n"/>
      <c r="C116" s="335">
        <f>SUMIF(B4:B103,"Egreso Familiar",F4:F103)</f>
        <v/>
      </c>
      <c r="D116" s="301" t="n"/>
      <c r="E116" s="328" t="n"/>
      <c r="F116" s="301" t="n"/>
      <c r="G116" s="301" t="n"/>
      <c r="H116" s="301" t="n"/>
      <c r="I116" s="301" t="n"/>
      <c r="J116" s="301" t="n"/>
    </row>
    <row r="117" ht="15" customHeight="1" s="221">
      <c r="A117" s="301" t="inlineStr">
        <is>
          <t xml:space="preserve">  Préstamo NT → Fam:</t>
        </is>
      </c>
      <c r="B117" s="301" t="n"/>
      <c r="C117" s="336">
        <f>SUMIF(B4:B103,"Préstamo NT → Familia",F4:F103)</f>
        <v/>
      </c>
      <c r="D117" s="301" t="n"/>
      <c r="E117" s="328" t="n"/>
      <c r="F117" s="301" t="n"/>
      <c r="G117" s="301" t="n"/>
      <c r="H117" s="301" t="n"/>
      <c r="I117" s="301" t="n"/>
      <c r="J117" s="301" t="n"/>
    </row>
    <row r="118" ht="15" customHeight="1" s="221">
      <c r="A118" s="223" t="inlineStr">
        <is>
          <t xml:space="preserve">  TOTAL EGRESOS:</t>
        </is>
      </c>
      <c r="B118" s="301" t="n"/>
      <c r="C118" s="337">
        <f>SUM(C115:C117)</f>
        <v/>
      </c>
      <c r="D118" s="301" t="n"/>
      <c r="E118" s="328" t="n"/>
      <c r="F118" s="301" t="n"/>
      <c r="G118" s="301" t="n"/>
      <c r="H118" s="301" t="n"/>
      <c r="I118" s="301" t="n"/>
      <c r="J118" s="301" t="n"/>
    </row>
    <row r="119" ht="15" customHeight="1" s="221">
      <c r="A119" s="301" t="n"/>
      <c r="B119" s="301" t="n"/>
      <c r="C119" s="301" t="n"/>
      <c r="D119" s="301" t="n"/>
      <c r="E119" s="328" t="n"/>
      <c r="F119" s="301" t="n"/>
      <c r="G119" s="301" t="n"/>
      <c r="H119" s="301" t="n"/>
      <c r="I119" s="301" t="n"/>
      <c r="J119" s="301" t="n"/>
    </row>
    <row r="120" ht="15" customHeight="1" s="221">
      <c r="A120" s="223" t="inlineStr">
        <is>
          <t>SALDO PRÉSTAMO NT → FAM:</t>
        </is>
      </c>
      <c r="B120" s="301" t="n"/>
      <c r="C120" s="338">
        <f>C117-C111</f>
        <v/>
      </c>
      <c r="D120" s="301" t="n"/>
      <c r="E120" s="328" t="n"/>
      <c r="F120" s="301" t="n"/>
      <c r="G120" s="301" t="n"/>
      <c r="H120" s="301" t="n"/>
      <c r="I120" s="301" t="n"/>
      <c r="J120" s="301" t="n"/>
    </row>
    <row r="121" ht="15" customHeight="1" s="221">
      <c r="A121" s="339" t="inlineStr">
        <is>
          <t>(Prestado - Devuelto)</t>
        </is>
      </c>
      <c r="B121" s="301" t="n"/>
      <c r="C121" s="301" t="n"/>
      <c r="D121" s="301" t="n"/>
      <c r="E121" s="328" t="n"/>
      <c r="F121" s="301" t="n"/>
      <c r="G121" s="301" t="n"/>
      <c r="H121" s="301" t="n"/>
      <c r="I121" s="301" t="n"/>
      <c r="J121" s="301" t="n"/>
    </row>
    <row r="122" ht="15" customHeight="1" s="221">
      <c r="A122" s="301" t="n"/>
      <c r="B122" s="301" t="n"/>
      <c r="C122" s="301" t="n"/>
      <c r="D122" s="301" t="n"/>
      <c r="E122" s="328" t="n"/>
      <c r="F122" s="301" t="n"/>
      <c r="G122" s="301" t="n"/>
      <c r="H122" s="301" t="n"/>
      <c r="I122" s="301" t="n"/>
      <c r="J122" s="301" t="n"/>
    </row>
    <row r="123" ht="15" customHeight="1" s="221">
      <c r="A123" s="301" t="n"/>
      <c r="B123" s="301" t="n"/>
      <c r="C123" s="301" t="n"/>
      <c r="D123" s="301" t="n"/>
      <c r="E123" s="328" t="n"/>
      <c r="F123" s="301" t="n"/>
      <c r="G123" s="301" t="n"/>
      <c r="H123" s="301" t="n"/>
      <c r="I123" s="301" t="n"/>
      <c r="J123" s="301" t="n"/>
    </row>
    <row r="124" ht="15" customHeight="1" s="221">
      <c r="A124" s="301" t="n"/>
      <c r="B124" s="301" t="n"/>
      <c r="C124" s="301" t="n"/>
      <c r="D124" s="301" t="n"/>
      <c r="E124" s="328" t="n"/>
      <c r="F124" s="301" t="n"/>
      <c r="G124" s="301" t="n"/>
      <c r="H124" s="301" t="n"/>
      <c r="I124" s="301" t="n"/>
      <c r="J124" s="301" t="n"/>
    </row>
    <row r="125" ht="15" customHeight="1" s="221">
      <c r="A125" s="301" t="n"/>
      <c r="B125" s="301" t="n"/>
      <c r="C125" s="301" t="n"/>
      <c r="D125" s="301" t="n"/>
      <c r="E125" s="328" t="n"/>
      <c r="F125" s="301" t="n"/>
      <c r="G125" s="301" t="n"/>
      <c r="H125" s="301" t="n"/>
      <c r="I125" s="301" t="n"/>
      <c r="J125" s="301" t="n"/>
    </row>
    <row r="126" ht="15" customHeight="1" s="221">
      <c r="A126" s="301" t="n"/>
      <c r="B126" s="301" t="n"/>
      <c r="C126" s="301" t="n"/>
      <c r="D126" s="301" t="n"/>
      <c r="E126" s="328" t="n"/>
      <c r="F126" s="301" t="n"/>
      <c r="G126" s="301" t="n"/>
      <c r="H126" s="301" t="n"/>
      <c r="I126" s="301" t="n"/>
      <c r="J126" s="301" t="n"/>
    </row>
    <row r="127" ht="15" customHeight="1" s="221">
      <c r="A127" s="301" t="n"/>
      <c r="B127" s="301" t="n"/>
      <c r="C127" s="301" t="n"/>
      <c r="D127" s="301" t="n"/>
      <c r="E127" s="328" t="n"/>
      <c r="F127" s="301" t="n"/>
      <c r="G127" s="301" t="n"/>
      <c r="H127" s="301" t="n"/>
      <c r="I127" s="301" t="n"/>
      <c r="J127" s="301" t="n"/>
    </row>
    <row r="128" ht="15" customHeight="1" s="221">
      <c r="A128" s="301" t="n"/>
      <c r="B128" s="301" t="n"/>
      <c r="C128" s="301" t="n"/>
      <c r="D128" s="301" t="n"/>
      <c r="E128" s="328" t="n"/>
      <c r="F128" s="301" t="n"/>
      <c r="G128" s="301" t="n"/>
      <c r="H128" s="301" t="n"/>
      <c r="I128" s="301" t="n"/>
      <c r="J128" s="301" t="n"/>
    </row>
    <row r="129" ht="15" customHeight="1" s="221">
      <c r="A129" s="301" t="n"/>
      <c r="B129" s="301" t="n"/>
      <c r="C129" s="301" t="n"/>
      <c r="D129" s="301" t="n"/>
      <c r="E129" s="328" t="n"/>
      <c r="F129" s="301" t="n"/>
      <c r="G129" s="301" t="n"/>
      <c r="H129" s="301" t="n"/>
      <c r="I129" s="301" t="n"/>
      <c r="J129" s="301" t="n"/>
    </row>
    <row r="130" ht="15" customHeight="1" s="221">
      <c r="A130" s="301" t="n"/>
      <c r="B130" s="301" t="n"/>
      <c r="C130" s="301" t="n"/>
      <c r="D130" s="301" t="n"/>
      <c r="E130" s="328" t="n"/>
      <c r="F130" s="301" t="n"/>
      <c r="G130" s="301" t="n"/>
      <c r="H130" s="301" t="n"/>
      <c r="I130" s="301" t="n"/>
      <c r="J130" s="301" t="n"/>
    </row>
    <row r="131" ht="15" customHeight="1" s="221">
      <c r="A131" s="301" t="n"/>
      <c r="B131" s="301" t="n"/>
      <c r="C131" s="301" t="n"/>
      <c r="D131" s="301" t="n"/>
      <c r="E131" s="328" t="n"/>
      <c r="F131" s="301" t="n"/>
      <c r="G131" s="301" t="n"/>
      <c r="H131" s="301" t="n"/>
      <c r="I131" s="301" t="n"/>
      <c r="J131" s="301" t="n"/>
    </row>
    <row r="132" ht="15" customHeight="1" s="221">
      <c r="A132" s="301" t="n"/>
      <c r="B132" s="301" t="n"/>
      <c r="C132" s="301" t="n"/>
      <c r="D132" s="301" t="n"/>
      <c r="E132" s="328" t="n"/>
      <c r="F132" s="301" t="n"/>
      <c r="G132" s="301" t="n"/>
      <c r="H132" s="301" t="n"/>
      <c r="I132" s="301" t="n"/>
      <c r="J132" s="301" t="n"/>
    </row>
    <row r="133" ht="15" customHeight="1" s="221">
      <c r="A133" s="301" t="n"/>
      <c r="B133" s="301" t="n"/>
      <c r="C133" s="301" t="n"/>
      <c r="D133" s="301" t="n"/>
      <c r="E133" s="328" t="n"/>
      <c r="F133" s="301" t="n"/>
      <c r="G133" s="301" t="n"/>
      <c r="H133" s="301" t="n"/>
      <c r="I133" s="301" t="n"/>
      <c r="J133" s="301" t="n"/>
    </row>
    <row r="134" ht="15" customHeight="1" s="221">
      <c r="A134" s="301" t="n"/>
      <c r="B134" s="301" t="n"/>
      <c r="C134" s="301" t="n"/>
      <c r="D134" s="301" t="n"/>
      <c r="E134" s="328" t="n"/>
      <c r="F134" s="301" t="n"/>
      <c r="G134" s="301" t="n"/>
      <c r="H134" s="301" t="n"/>
      <c r="I134" s="301" t="n"/>
      <c r="J134" s="301" t="n"/>
    </row>
    <row r="135" ht="15" customHeight="1" s="221">
      <c r="A135" s="301" t="n"/>
      <c r="B135" s="301" t="n"/>
      <c r="C135" s="301" t="n"/>
      <c r="D135" s="301" t="n"/>
      <c r="E135" s="328" t="n"/>
      <c r="F135" s="301" t="n"/>
      <c r="G135" s="301" t="n"/>
      <c r="H135" s="301" t="n"/>
      <c r="I135" s="301" t="n"/>
      <c r="J135" s="301" t="n"/>
    </row>
    <row r="136" ht="15" customHeight="1" s="221">
      <c r="A136" s="301" t="n"/>
      <c r="B136" s="301" t="n"/>
      <c r="C136" s="301" t="n"/>
      <c r="D136" s="301" t="n"/>
      <c r="E136" s="328" t="n"/>
      <c r="F136" s="301" t="n"/>
      <c r="G136" s="301" t="n"/>
      <c r="H136" s="301" t="n"/>
      <c r="I136" s="301" t="n"/>
      <c r="J136" s="301" t="n"/>
    </row>
    <row r="137" ht="15" customHeight="1" s="221">
      <c r="A137" s="301" t="n"/>
      <c r="B137" s="301" t="n"/>
      <c r="C137" s="301" t="n"/>
      <c r="D137" s="301" t="n"/>
      <c r="E137" s="328" t="n"/>
      <c r="F137" s="301" t="n"/>
      <c r="G137" s="301" t="n"/>
      <c r="H137" s="301" t="n"/>
      <c r="I137" s="301" t="n"/>
      <c r="J137" s="301" t="n"/>
    </row>
    <row r="138" ht="15" customHeight="1" s="221">
      <c r="A138" s="301" t="n"/>
      <c r="B138" s="301" t="n"/>
      <c r="C138" s="301" t="n"/>
      <c r="D138" s="301" t="n"/>
      <c r="E138" s="328" t="n"/>
      <c r="F138" s="301" t="n"/>
      <c r="G138" s="301" t="n"/>
      <c r="H138" s="301" t="n"/>
      <c r="I138" s="301" t="n"/>
      <c r="J138" s="301" t="n"/>
    </row>
    <row r="139" ht="15" customHeight="1" s="221">
      <c r="A139" s="301" t="n"/>
      <c r="B139" s="301" t="n"/>
      <c r="C139" s="301" t="n"/>
      <c r="D139" s="301" t="n"/>
      <c r="E139" s="301" t="n"/>
      <c r="F139" s="301" t="n"/>
      <c r="G139" s="301" t="n"/>
      <c r="H139" s="301" t="n"/>
      <c r="I139" s="301" t="n"/>
      <c r="J139" s="301" t="n"/>
    </row>
    <row r="140" ht="15" customHeight="1" s="221">
      <c r="A140" s="301" t="n"/>
      <c r="B140" s="301" t="n"/>
      <c r="C140" s="301" t="n"/>
      <c r="D140" s="301" t="n"/>
      <c r="E140" s="301" t="n"/>
      <c r="F140" s="301" t="n"/>
      <c r="G140" s="301" t="n"/>
      <c r="H140" s="301" t="n"/>
      <c r="I140" s="301" t="n"/>
      <c r="J140" s="301" t="n"/>
    </row>
    <row r="141" ht="15" customHeight="1" s="221">
      <c r="A141" s="301" t="n"/>
      <c r="B141" s="301" t="n"/>
      <c r="C141" s="301" t="n"/>
      <c r="D141" s="301" t="n"/>
      <c r="E141" s="301" t="n"/>
      <c r="F141" s="301" t="n"/>
      <c r="G141" s="301" t="n"/>
      <c r="H141" s="301" t="n"/>
      <c r="I141" s="301" t="n"/>
      <c r="J141" s="301" t="n"/>
    </row>
    <row r="142" ht="15" customHeight="1" s="221">
      <c r="A142" s="301" t="n"/>
      <c r="B142" s="301" t="n"/>
      <c r="C142" s="301" t="n"/>
      <c r="D142" s="301" t="n"/>
      <c r="E142" s="301" t="n"/>
      <c r="F142" s="301" t="n"/>
      <c r="G142" s="301" t="n"/>
      <c r="H142" s="301" t="n"/>
      <c r="I142" s="301" t="n"/>
      <c r="J142" s="301" t="n"/>
    </row>
    <row r="143" ht="15" customHeight="1" s="221">
      <c r="A143" s="301" t="n"/>
      <c r="B143" s="301" t="n"/>
      <c r="C143" s="301" t="n"/>
      <c r="D143" s="301" t="n"/>
      <c r="E143" s="301" t="n"/>
      <c r="F143" s="301" t="n"/>
      <c r="G143" s="301" t="n"/>
      <c r="H143" s="301" t="n"/>
      <c r="I143" s="301" t="n"/>
      <c r="J143" s="301" t="n"/>
    </row>
    <row r="144" ht="15" customHeight="1" s="221">
      <c r="A144" s="301" t="n"/>
      <c r="B144" s="301" t="n"/>
      <c r="C144" s="301" t="n"/>
      <c r="D144" s="301" t="n"/>
      <c r="E144" s="301" t="n"/>
      <c r="F144" s="301" t="n"/>
      <c r="G144" s="301" t="n"/>
      <c r="H144" s="301" t="n"/>
      <c r="I144" s="301" t="n"/>
      <c r="J144" s="301" t="n"/>
    </row>
    <row r="145" ht="15" customHeight="1" s="221">
      <c r="A145" s="301" t="n"/>
      <c r="B145" s="301" t="n"/>
      <c r="C145" s="301" t="n"/>
      <c r="D145" s="301" t="n"/>
      <c r="E145" s="301" t="n"/>
      <c r="F145" s="301" t="n"/>
      <c r="G145" s="301" t="n"/>
      <c r="H145" s="301" t="n"/>
      <c r="I145" s="301" t="n"/>
      <c r="J145" s="301" t="n"/>
    </row>
    <row r="146" ht="15" customHeight="1" s="221">
      <c r="A146" s="301" t="n"/>
      <c r="B146" s="301" t="n"/>
      <c r="C146" s="301" t="n"/>
      <c r="D146" s="301" t="n"/>
      <c r="E146" s="301" t="n"/>
      <c r="F146" s="301" t="n"/>
      <c r="G146" s="301" t="n"/>
      <c r="H146" s="301" t="n"/>
      <c r="I146" s="301" t="n"/>
      <c r="J146" s="301" t="n"/>
    </row>
    <row r="147" ht="15" customHeight="1" s="221">
      <c r="A147" s="301" t="n"/>
      <c r="B147" s="301" t="n"/>
      <c r="C147" s="301" t="n"/>
      <c r="D147" s="301" t="n"/>
      <c r="E147" s="301" t="n"/>
      <c r="F147" s="301" t="n"/>
      <c r="G147" s="301" t="n"/>
      <c r="H147" s="301" t="n"/>
      <c r="I147" s="301" t="n"/>
      <c r="J147" s="301" t="n"/>
    </row>
    <row r="148" ht="15" customHeight="1" s="221">
      <c r="A148" s="301" t="n"/>
      <c r="B148" s="301" t="n"/>
      <c r="C148" s="301" t="n"/>
      <c r="D148" s="301" t="n"/>
      <c r="E148" s="301" t="n"/>
      <c r="F148" s="301" t="n"/>
      <c r="G148" s="301" t="n"/>
      <c r="H148" s="301" t="n"/>
      <c r="I148" s="301" t="n"/>
      <c r="J148" s="301" t="n"/>
    </row>
    <row r="149" ht="15" customHeight="1" s="221">
      <c r="A149" s="301" t="n"/>
      <c r="B149" s="301" t="n"/>
      <c r="C149" s="301" t="n"/>
      <c r="D149" s="301" t="n"/>
      <c r="E149" s="301" t="n"/>
      <c r="F149" s="301" t="n"/>
      <c r="G149" s="301" t="n"/>
      <c r="H149" s="301" t="n"/>
      <c r="I149" s="301" t="n"/>
      <c r="J149" s="301" t="n"/>
    </row>
    <row r="150" ht="15" customHeight="1" s="221">
      <c r="A150" s="301" t="n"/>
      <c r="B150" s="301" t="n"/>
      <c r="C150" s="301" t="n"/>
      <c r="D150" s="301" t="n"/>
      <c r="E150" s="301" t="n"/>
      <c r="F150" s="301" t="n"/>
      <c r="G150" s="301" t="n"/>
      <c r="H150" s="301" t="n"/>
      <c r="I150" s="301" t="n"/>
      <c r="J150" s="301" t="n"/>
    </row>
  </sheetData>
  <mergeCells count="3">
    <mergeCell ref="A104:D104"/>
    <mergeCell ref="A106:C106"/>
    <mergeCell ref="A1:H1"/>
  </mergeCells>
  <dataValidations count="2">
    <dataValidation sqref="B4:B103" showDropDown="0" showInputMessage="0" showErrorMessage="0" allowBlank="1" type="list" errorStyle="stop" operator="between">
      <formula1>"Familiar,NeuroTEA"</formula1>
      <formula2>0</formula2>
    </dataValidation>
    <dataValidation sqref="C4:C103" showDropDown="0" showInputMessage="0" showErrorMessage="0" allowBlank="1" type="list" errorStyle="stop" operator="between">
      <formula1>"Combustible,Supermercado,Farmacia,Recreación,Gastos Varios,Reserva Fam 1,Reserva Fam 2,Reserva Fam 3,Insumos NT,Papelería NT,Mantenimiento NT,Festejos NT,Gastos Cursos NT,Gastos Varios NT,Reserva NT 1,Reserva NT 2,Reserva NT 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1ABC9C"/>
    <outlinePr summaryBelow="1" summaryRight="1"/>
    <pageSetUpPr fitToPage="0"/>
  </sheetPr>
  <dimension ref="A1:L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24" customWidth="1" style="220" min="1" max="1"/>
    <col width="12" customWidth="1" style="220" min="2" max="2"/>
    <col width="14" customWidth="1" style="220" min="3" max="4"/>
    <col width="2" customWidth="1" style="220" min="5" max="6"/>
    <col width="24" customWidth="1" style="220" min="7" max="7"/>
    <col width="12" customWidth="1" style="220" min="8" max="8"/>
    <col width="14" customWidth="1" style="220" min="9" max="10"/>
  </cols>
  <sheetData>
    <row r="1" ht="34.5" customHeight="1" s="221">
      <c r="A1" s="340" t="inlineStr">
        <is>
          <t>📊 CONTROL FINANCIERO - JUNIO 2026</t>
        </is>
      </c>
      <c r="K1" s="301" t="n"/>
      <c r="L1" s="301" t="n"/>
    </row>
    <row r="2" ht="15" customHeight="1" s="221">
      <c r="A2" s="301" t="n"/>
      <c r="B2" s="301" t="n"/>
      <c r="C2" s="301" t="n"/>
      <c r="D2" s="301" t="n"/>
      <c r="E2" s="301" t="n"/>
      <c r="F2" s="301" t="n"/>
      <c r="G2" s="301" t="n"/>
      <c r="H2" s="301" t="n"/>
      <c r="I2" s="301" t="n"/>
      <c r="J2" s="301" t="n"/>
      <c r="K2" s="301" t="n"/>
      <c r="L2" s="301" t="n"/>
    </row>
    <row r="3" ht="15" customHeight="1" s="221">
      <c r="A3" s="341" t="inlineStr">
        <is>
          <t>TOTAL INGRESOS</t>
        </is>
      </c>
      <c r="C3" s="301" t="n"/>
      <c r="D3" s="342" t="inlineStr">
        <is>
          <t>GASTOS PAGADOS</t>
        </is>
      </c>
      <c r="F3" s="301" t="n"/>
      <c r="G3" s="343" t="inlineStr">
        <is>
          <t>GASTOS PENDIENTES</t>
        </is>
      </c>
      <c r="I3" s="301" t="n"/>
      <c r="J3" s="344" t="inlineStr">
        <is>
          <t>BALANCE</t>
        </is>
      </c>
      <c r="K3" s="301" t="n"/>
      <c r="L3" s="301" t="n"/>
    </row>
    <row r="4" ht="22.5" customHeight="1" s="221">
      <c r="A4" s="345">
        <f>D26+J12</f>
        <v/>
      </c>
      <c r="C4" s="328" t="n"/>
      <c r="D4" s="346">
        <f>D65+I58</f>
        <v/>
      </c>
      <c r="F4" s="301" t="n"/>
      <c r="G4" s="347">
        <f>D66+I59</f>
        <v/>
      </c>
      <c r="I4" s="301" t="n"/>
      <c r="J4" s="348">
        <f>A4-D4-G4</f>
        <v/>
      </c>
      <c r="K4" s="301" t="n"/>
      <c r="L4" s="301" t="n"/>
    </row>
    <row r="5" ht="15" customHeight="1" s="221">
      <c r="A5" s="301" t="n"/>
      <c r="B5" s="301" t="n"/>
      <c r="C5" s="301" t="n"/>
      <c r="D5" s="301" t="n"/>
      <c r="E5" s="301" t="n"/>
      <c r="F5" s="301" t="n"/>
      <c r="G5" s="301" t="n"/>
      <c r="H5" s="301" t="n"/>
      <c r="I5" s="301" t="n"/>
      <c r="J5" s="301" t="n"/>
      <c r="K5" s="301" t="n"/>
      <c r="L5" s="301" t="n"/>
    </row>
    <row r="6" ht="15.75" customHeight="1" s="221">
      <c r="A6" s="349" t="inlineStr">
        <is>
          <t>⚠️ PRÉSTAMO NT → FAMILIA</t>
        </is>
      </c>
      <c r="D6" s="350">
        <f>SUMIF('Ing-Egr Junio 2026'!B4:B103,"Préstamo NT → Familia",'Ing-Egr Junio 2026'!F4:F103)-SUMIF('Ing-Egr Junio 2026'!B4:B103,"Devolución Familia → NT",'Ing-Egr Junio 2026'!E4:E103)</f>
        <v/>
      </c>
      <c r="E6" s="301" t="n"/>
      <c r="F6" s="351" t="inlineStr">
        <is>
          <t>Estado:</t>
        </is>
      </c>
      <c r="G6" s="351">
        <f>IF(D6=0,"🟢 SANO","🔴 FUGA")</f>
        <v/>
      </c>
      <c r="H6" s="301" t="n"/>
      <c r="I6" s="339" t="inlineStr">
        <is>
          <t>(Ideal = 0)</t>
        </is>
      </c>
      <c r="J6" s="301" t="n"/>
      <c r="K6" s="301" t="n"/>
      <c r="L6" s="301" t="n"/>
    </row>
    <row r="7" ht="15" customHeight="1" s="221">
      <c r="A7" s="301" t="n"/>
      <c r="B7" s="301" t="n"/>
      <c r="C7" s="301" t="n"/>
      <c r="D7" s="301" t="n"/>
      <c r="E7" s="301" t="n"/>
      <c r="F7" s="301" t="n"/>
      <c r="G7" s="301" t="n"/>
      <c r="H7" s="301" t="n"/>
      <c r="I7" s="301" t="n"/>
      <c r="J7" s="301" t="n"/>
      <c r="K7" s="301" t="n"/>
      <c r="L7" s="301" t="n"/>
    </row>
    <row r="8" ht="15" customHeight="1" s="221">
      <c r="A8" s="352" t="inlineStr">
        <is>
          <t>💵 INGRESOS FAMILIA</t>
        </is>
      </c>
      <c r="B8" s="256" t="n"/>
      <c r="C8" s="256" t="n"/>
      <c r="D8" s="353" t="n"/>
      <c r="E8" s="354" t="n"/>
      <c r="F8" s="354" t="n"/>
      <c r="G8" s="355" t="inlineStr">
        <is>
          <t>💵 INGRESOS NEUROTEA</t>
        </is>
      </c>
      <c r="H8" s="256" t="n"/>
      <c r="I8" s="256" t="n"/>
      <c r="J8" s="353" t="n"/>
      <c r="K8" s="301" t="n"/>
      <c r="L8" s="301" t="n"/>
    </row>
    <row r="9" ht="15" customHeight="1" s="221">
      <c r="A9" s="356" t="inlineStr">
        <is>
          <t>MARCO ITAIPU</t>
        </is>
      </c>
      <c r="B9" s="353" t="n"/>
      <c r="C9" s="357" t="inlineStr">
        <is>
          <t>Fecha</t>
        </is>
      </c>
      <c r="D9" s="358" t="inlineStr">
        <is>
          <t>Monto</t>
        </is>
      </c>
      <c r="E9" s="359" t="n"/>
      <c r="F9" s="360" t="n"/>
      <c r="G9" s="361" t="inlineStr">
        <is>
          <t>Ingreso del Mes</t>
        </is>
      </c>
      <c r="H9" s="256" t="n"/>
      <c r="I9" s="353" t="n"/>
      <c r="J9" s="362" t="inlineStr">
        <is>
          <t>Monto</t>
        </is>
      </c>
      <c r="K9" s="301" t="n"/>
      <c r="L9" s="301" t="n"/>
    </row>
    <row r="10" ht="15" customHeight="1" s="221">
      <c r="A10" s="363" t="inlineStr">
        <is>
          <t>Salario Mensual</t>
        </is>
      </c>
      <c r="B10" s="364" t="n"/>
      <c r="C10" s="365" t="n"/>
      <c r="D10" s="366">
        <f>SUMIFS('Ing-Egr Junio 2026'!E4:E103,'Ing-Egr Junio 2026'!B4:B103,"Ingreso Marco",'Ing-Egr Junio 2026'!C4:C103,A10)</f>
        <v/>
      </c>
      <c r="E10" s="359" t="n"/>
      <c r="F10" s="360" t="n"/>
      <c r="G10" s="367" t="inlineStr">
        <is>
          <t>(Suma desde pestaña Ing-Egr Junio)</t>
        </is>
      </c>
      <c r="H10" s="256" t="n"/>
      <c r="I10" s="353" t="n"/>
      <c r="J10" s="368">
        <f>SUMIF('Ing-Egr Junio 2026'!B4:B103,"Ingreso NT",'Ing-Egr Junio 2026'!E4:E103)</f>
        <v/>
      </c>
      <c r="K10" s="301" t="n"/>
      <c r="L10" s="301" t="n"/>
    </row>
    <row r="11" ht="15" customHeight="1" s="221">
      <c r="A11" s="369" t="inlineStr">
        <is>
          <t>Vacaciones</t>
        </is>
      </c>
      <c r="B11" s="370" t="n"/>
      <c r="C11" s="371" t="n"/>
      <c r="D11" s="366">
        <f>SUMIFS('Ing-Egr Junio 2026'!E4:E103,'Ing-Egr Junio 2026'!B4:B103,"Ingreso Marco",'Ing-Egr Junio 2026'!C4:C103,A11)</f>
        <v/>
      </c>
      <c r="E11" s="359" t="n"/>
      <c r="F11" s="360" t="n"/>
      <c r="G11" s="359" t="n"/>
      <c r="H11" s="301" t="n"/>
      <c r="I11" s="301" t="n"/>
      <c r="J11" s="301" t="n"/>
      <c r="K11" s="301" t="n"/>
      <c r="L11" s="301" t="n"/>
    </row>
    <row r="12" ht="15" customHeight="1" s="221">
      <c r="A12" s="363" t="inlineStr">
        <is>
          <t>Aguinaldo</t>
        </is>
      </c>
      <c r="B12" s="364" t="n"/>
      <c r="C12" s="365" t="n"/>
      <c r="D12" s="366">
        <f>SUMIFS('Ing-Egr Junio 2026'!E4:E103,'Ing-Egr Junio 2026'!B4:B103,"Ingreso Marco",'Ing-Egr Junio 2026'!C4:C103,A12)</f>
        <v/>
      </c>
      <c r="E12" s="359" t="n"/>
      <c r="F12" s="360" t="n"/>
      <c r="G12" s="372" t="inlineStr">
        <is>
          <t>═══ TOTAL INGRESOS NT ═══</t>
        </is>
      </c>
      <c r="H12" s="256" t="n"/>
      <c r="I12" s="353" t="n"/>
      <c r="J12" s="373">
        <f>J10</f>
        <v/>
      </c>
      <c r="K12" s="301" t="n"/>
      <c r="L12" s="301" t="n"/>
    </row>
    <row r="13" ht="15" customHeight="1" s="221">
      <c r="A13" s="369" t="inlineStr">
        <is>
          <t>Viático</t>
        </is>
      </c>
      <c r="B13" s="370" t="n"/>
      <c r="C13" s="371" t="n"/>
      <c r="D13" s="366">
        <f>SUMIFS('Ing-Egr Junio 2026'!E4:E103,'Ing-Egr Junio 2026'!B4:B103,"Ingreso Marco",'Ing-Egr Junio 2026'!C4:C103,A13)</f>
        <v/>
      </c>
      <c r="E13" s="359" t="n"/>
      <c r="F13" s="360" t="n"/>
      <c r="G13" s="359" t="n"/>
      <c r="H13" s="301" t="n"/>
      <c r="I13" s="301" t="n"/>
      <c r="J13" s="301" t="n"/>
      <c r="K13" s="301" t="n"/>
      <c r="L13" s="301" t="n"/>
    </row>
    <row r="14" ht="15" customHeight="1" s="221">
      <c r="A14" s="363" t="inlineStr">
        <is>
          <t>Animador Bíblico</t>
        </is>
      </c>
      <c r="B14" s="364" t="n"/>
      <c r="C14" s="365" t="n"/>
      <c r="D14" s="366">
        <f>SUMIFS('Ing-Egr Junio 2026'!E4:E103,'Ing-Egr Junio 2026'!B4:B103,"Ingreso Marco",'Ing-Egr Junio 2026'!C4:C103,A14)</f>
        <v/>
      </c>
      <c r="E14" s="359" t="n"/>
      <c r="F14" s="360" t="n"/>
      <c r="G14" s="359" t="n"/>
      <c r="H14" s="301" t="n"/>
      <c r="I14" s="301" t="n"/>
      <c r="J14" s="301" t="n"/>
      <c r="K14" s="301" t="n"/>
      <c r="L14" s="301" t="n"/>
    </row>
    <row r="15" ht="15" customHeight="1" s="221">
      <c r="A15" s="369" t="inlineStr">
        <is>
          <t>Otros Ocasionales</t>
        </is>
      </c>
      <c r="B15" s="370" t="n"/>
      <c r="C15" s="371" t="n"/>
      <c r="D15" s="366">
        <f>SUMIFS('Ing-Egr Junio 2026'!E4:E103,'Ing-Egr Junio 2026'!B4:B103,"Ingreso Marco",'Ing-Egr Junio 2026'!C4:C103,A15)</f>
        <v/>
      </c>
      <c r="E15" s="359" t="n"/>
      <c r="F15" s="360" t="n"/>
      <c r="G15" s="359" t="n"/>
      <c r="H15" s="301" t="n"/>
      <c r="I15" s="374">
        <f>J12</f>
        <v/>
      </c>
      <c r="J15" s="301" t="n"/>
      <c r="K15" s="301" t="n"/>
      <c r="L15" s="301" t="n"/>
    </row>
    <row r="16" ht="15" customHeight="1" s="221">
      <c r="A16" s="375" t="inlineStr">
        <is>
          <t>TOTAL MARCO</t>
        </is>
      </c>
      <c r="B16" s="360" t="n"/>
      <c r="C16" s="359" t="n"/>
      <c r="D16" s="376">
        <f>SUM(D10:D15)</f>
        <v/>
      </c>
      <c r="E16" s="359" t="n"/>
      <c r="F16" s="360" t="n"/>
      <c r="G16" s="359" t="n"/>
      <c r="H16" s="301" t="n"/>
      <c r="I16" s="301" t="n"/>
      <c r="J16" s="301" t="n"/>
      <c r="K16" s="301" t="n"/>
      <c r="L16" s="301" t="n"/>
    </row>
    <row r="17" ht="15" customHeight="1" s="221">
      <c r="A17" s="377" t="inlineStr">
        <is>
          <t>CLARA</t>
        </is>
      </c>
      <c r="B17" s="353" t="n"/>
      <c r="C17" s="378" t="inlineStr">
        <is>
          <t>Fecha</t>
        </is>
      </c>
      <c r="D17" s="379" t="inlineStr">
        <is>
          <t>Monto</t>
        </is>
      </c>
      <c r="E17" s="359" t="n"/>
      <c r="F17" s="360" t="n"/>
      <c r="G17" s="359" t="n"/>
      <c r="H17" s="301" t="n"/>
      <c r="I17" s="301" t="n"/>
      <c r="J17" s="301" t="n"/>
      <c r="K17" s="301" t="n"/>
      <c r="L17" s="301" t="n"/>
    </row>
    <row r="18" ht="15" customHeight="1" s="221">
      <c r="A18" s="380" t="inlineStr">
        <is>
          <t>Honorarios Diarios</t>
        </is>
      </c>
      <c r="B18" s="381" t="n"/>
      <c r="C18" s="382" t="n"/>
      <c r="D18" s="383">
        <f>SUMIF('Ing-Egr Junio 2026'!B4:B103,"Ingreso Clara",'Ing-Egr Junio 2026'!E4:E103)</f>
        <v/>
      </c>
      <c r="E18" s="359" t="n"/>
      <c r="F18" s="360" t="n"/>
      <c r="G18" s="359" t="n"/>
      <c r="H18" s="301" t="n"/>
      <c r="I18" s="301" t="n"/>
      <c r="J18" s="301" t="n"/>
      <c r="K18" s="301" t="n"/>
      <c r="L18" s="301" t="n"/>
    </row>
    <row r="19" ht="15" customHeight="1" s="221">
      <c r="A19" s="384" t="inlineStr">
        <is>
          <t>TOTAL CLARA</t>
        </is>
      </c>
      <c r="B19" s="301" t="n"/>
      <c r="C19" s="301" t="n"/>
      <c r="D19" s="385">
        <f>D18</f>
        <v/>
      </c>
      <c r="E19" s="359" t="n"/>
      <c r="F19" s="360" t="n"/>
      <c r="G19" s="359" t="n"/>
      <c r="H19" s="301" t="n"/>
      <c r="I19" s="301" t="n"/>
      <c r="J19" s="301" t="n"/>
      <c r="K19" s="301" t="n"/>
      <c r="L19" s="301" t="n"/>
    </row>
    <row r="20" ht="15" customHeight="1" s="221">
      <c r="A20" s="386" t="inlineStr">
        <is>
          <t>DESDE NEUROTEA</t>
        </is>
      </c>
      <c r="D20" s="387" t="inlineStr">
        <is>
          <t>Monto</t>
        </is>
      </c>
      <c r="E20" s="359" t="n"/>
      <c r="F20" s="360" t="n"/>
      <c r="G20" s="359" t="n"/>
      <c r="H20" s="301" t="n"/>
      <c r="I20" s="301" t="n"/>
      <c r="J20" s="301" t="n"/>
      <c r="K20" s="301" t="n"/>
      <c r="L20" s="301" t="n"/>
    </row>
    <row r="21" ht="15" customHeight="1" s="221">
      <c r="A21" s="388" t="inlineStr">
        <is>
          <t>Salario Admin Marco</t>
        </is>
      </c>
      <c r="B21" s="388" t="n"/>
      <c r="C21" s="388" t="n"/>
      <c r="D21" s="389" t="n">
        <v>0</v>
      </c>
      <c r="E21" s="359" t="n"/>
      <c r="F21" s="360" t="n"/>
      <c r="G21" s="359" t="n"/>
      <c r="H21" s="301" t="n"/>
      <c r="I21" s="301" t="n"/>
      <c r="J21" s="301" t="n"/>
      <c r="K21" s="301" t="n"/>
      <c r="L21" s="301" t="n"/>
    </row>
    <row r="22" ht="15" customHeight="1" s="221">
      <c r="A22" s="390" t="inlineStr">
        <is>
          <t>Ganancia NT → Familia</t>
        </is>
      </c>
      <c r="B22" s="390" t="n"/>
      <c r="C22" s="390" t="n"/>
      <c r="D22" s="391" t="n">
        <v>0</v>
      </c>
      <c r="E22" s="359" t="n"/>
      <c r="F22" s="360" t="n"/>
      <c r="G22" s="359" t="n"/>
      <c r="H22" s="301" t="n"/>
      <c r="I22" s="301" t="n"/>
      <c r="J22" s="301" t="n"/>
      <c r="K22" s="301" t="n"/>
      <c r="L22" s="301" t="n"/>
    </row>
    <row r="23" ht="15" customHeight="1" s="221">
      <c r="A23" s="388" t="inlineStr">
        <is>
          <t>Préstamo NT (automático)</t>
        </is>
      </c>
      <c r="B23" s="388" t="n"/>
      <c r="C23" s="388" t="n"/>
      <c r="D23" s="389">
        <f>D6</f>
        <v/>
      </c>
      <c r="E23" s="359" t="n"/>
      <c r="F23" s="360" t="n"/>
      <c r="G23" s="359" t="n"/>
      <c r="H23" s="301" t="n"/>
      <c r="I23" s="301" t="n"/>
      <c r="J23" s="301" t="n"/>
      <c r="K23" s="301" t="n"/>
      <c r="L23" s="301" t="n"/>
    </row>
    <row r="24" ht="15" customHeight="1" s="221">
      <c r="A24" s="392" t="inlineStr">
        <is>
          <t>TOTAL DESDE NT</t>
        </is>
      </c>
      <c r="B24" s="301" t="n"/>
      <c r="C24" s="301" t="n"/>
      <c r="D24" s="393">
        <f>SUM(D21:D23)</f>
        <v/>
      </c>
      <c r="E24" s="359" t="n"/>
      <c r="F24" s="360" t="n"/>
      <c r="G24" s="359" t="n"/>
      <c r="H24" s="301" t="n"/>
      <c r="I24" s="301" t="n"/>
      <c r="J24" s="301" t="n"/>
      <c r="K24" s="301" t="n"/>
      <c r="L24" s="301" t="n"/>
    </row>
    <row r="25" ht="15" customHeight="1" s="221">
      <c r="A25" s="301" t="n"/>
      <c r="B25" s="301" t="n"/>
      <c r="C25" s="301" t="n"/>
      <c r="D25" s="360" t="n"/>
      <c r="E25" s="359" t="n"/>
      <c r="F25" s="360" t="n"/>
      <c r="G25" s="359" t="n"/>
      <c r="H25" s="301" t="n"/>
      <c r="I25" s="301" t="n"/>
      <c r="J25" s="301" t="n"/>
      <c r="K25" s="301" t="n"/>
      <c r="L25" s="301" t="n"/>
    </row>
    <row r="26" ht="15" customHeight="1" s="221">
      <c r="A26" s="223" t="inlineStr">
        <is>
          <t>═══ TOTAL INGRESOS FAMILIA ═══</t>
        </is>
      </c>
      <c r="D26" s="394">
        <f>D16+D19+D24</f>
        <v/>
      </c>
      <c r="E26" s="359" t="n"/>
      <c r="F26" s="360" t="n"/>
      <c r="G26" s="359" t="n"/>
      <c r="H26" s="301" t="n"/>
      <c r="I26" s="301" t="n"/>
      <c r="J26" s="301" t="n"/>
      <c r="K26" s="301" t="n"/>
      <c r="L26" s="301" t="n"/>
    </row>
    <row r="27" ht="15" customHeight="1" s="221">
      <c r="A27" s="301" t="n"/>
      <c r="B27" s="301" t="n"/>
      <c r="C27" s="301" t="n"/>
      <c r="D27" s="360" t="n"/>
      <c r="E27" s="359" t="n"/>
      <c r="F27" s="360" t="n"/>
      <c r="G27" s="359" t="n"/>
      <c r="H27" s="301" t="n"/>
      <c r="I27" s="301" t="n"/>
      <c r="J27" s="301" t="n"/>
      <c r="K27" s="301" t="n"/>
      <c r="L27" s="301" t="n"/>
    </row>
    <row r="28" ht="15.75" customHeight="1" s="221">
      <c r="A28" s="395" t="inlineStr">
        <is>
          <t>📉 GASTOS FAMILIARES</t>
        </is>
      </c>
      <c r="E28" s="328" t="n"/>
      <c r="F28" s="301" t="n"/>
      <c r="G28" s="396" t="inlineStr">
        <is>
          <t>📉 GASTOS NEUROTEA</t>
        </is>
      </c>
      <c r="K28" s="301" t="n"/>
      <c r="L28" s="301" t="n"/>
    </row>
    <row r="29" ht="15" customHeight="1" s="221">
      <c r="A29" s="397" t="inlineStr">
        <is>
          <t>Detalle</t>
        </is>
      </c>
      <c r="B29" s="397" t="inlineStr">
        <is>
          <t>Estado</t>
        </is>
      </c>
      <c r="C29" s="397" t="inlineStr">
        <is>
          <t>Monto</t>
        </is>
      </c>
      <c r="D29" s="397" t="inlineStr">
        <is>
          <t>Venc.</t>
        </is>
      </c>
      <c r="E29" s="301" t="n"/>
      <c r="F29" s="301" t="n"/>
      <c r="G29" s="398" t="inlineStr">
        <is>
          <t>Detalle</t>
        </is>
      </c>
      <c r="H29" s="398" t="inlineStr">
        <is>
          <t>Estado</t>
        </is>
      </c>
      <c r="I29" s="398" t="inlineStr">
        <is>
          <t>Monto</t>
        </is>
      </c>
      <c r="J29" s="398" t="inlineStr">
        <is>
          <t>Venc.</t>
        </is>
      </c>
      <c r="K29" s="301" t="n"/>
      <c r="L29" s="301" t="n"/>
    </row>
    <row r="30" ht="15.75" customHeight="1" s="221">
      <c r="A30" s="399" t="inlineStr">
        <is>
          <t>► GASTOS FIJOS ✏️</t>
        </is>
      </c>
      <c r="E30" s="301" t="n"/>
      <c r="F30" s="301" t="n"/>
      <c r="G30" s="400" t="inlineStr">
        <is>
          <t>► GASTOS FIJOS ✏️</t>
        </is>
      </c>
      <c r="K30" s="301" t="n"/>
      <c r="L30" s="301" t="n"/>
    </row>
    <row r="31" ht="15" customHeight="1" s="221">
      <c r="A31" s="401" t="inlineStr">
        <is>
          <t>Salario Lili Doméstico</t>
        </is>
      </c>
      <c r="B31" s="401" t="inlineStr">
        <is>
          <t>Ninguno</t>
        </is>
      </c>
      <c r="C31" s="402" t="n"/>
      <c r="D31" s="458" t="n"/>
      <c r="E31" s="301" t="n"/>
      <c r="F31" s="301" t="n"/>
      <c r="G31" s="403" t="inlineStr">
        <is>
          <t>Alquiler 1 (Principal)</t>
        </is>
      </c>
      <c r="H31" s="403" t="inlineStr">
        <is>
          <t>Ninguno</t>
        </is>
      </c>
      <c r="I31" s="404" t="n">
        <v>0</v>
      </c>
      <c r="J31" s="459" t="n"/>
      <c r="K31" s="301" t="n"/>
      <c r="L31" s="301" t="n"/>
    </row>
    <row r="32" ht="15" customHeight="1" s="221">
      <c r="A32" s="405" t="inlineStr">
        <is>
          <t>Salario Laura Doméstico</t>
        </is>
      </c>
      <c r="B32" s="405" t="inlineStr">
        <is>
          <t>Ninguno</t>
        </is>
      </c>
      <c r="C32" s="406" t="n"/>
      <c r="D32" s="460" t="n"/>
      <c r="E32" s="301" t="n"/>
      <c r="F32" s="301" t="n"/>
      <c r="G32" s="407" t="inlineStr">
        <is>
          <t>Alquiler 2 (Secundario)</t>
        </is>
      </c>
      <c r="H32" s="407" t="inlineStr">
        <is>
          <t>Ninguno</t>
        </is>
      </c>
      <c r="I32" s="408" t="n">
        <v>0</v>
      </c>
      <c r="J32" s="461" t="n"/>
      <c r="K32" s="301" t="n"/>
      <c r="L32" s="301" t="n"/>
    </row>
    <row r="33" ht="15" customHeight="1" s="221">
      <c r="A33" s="401" t="inlineStr">
        <is>
          <t>Escuela Fabián y Brenda</t>
        </is>
      </c>
      <c r="B33" s="401" t="inlineStr">
        <is>
          <t>Ninguno</t>
        </is>
      </c>
      <c r="C33" s="402" t="n"/>
      <c r="D33" s="458" t="n"/>
      <c r="E33" s="301" t="n"/>
      <c r="F33" s="301" t="n"/>
      <c r="G33" s="403" t="inlineStr">
        <is>
          <t>Limpieza NeuroTEA</t>
        </is>
      </c>
      <c r="H33" s="403" t="inlineStr">
        <is>
          <t>Ninguno</t>
        </is>
      </c>
      <c r="I33" s="404" t="n">
        <v>0</v>
      </c>
      <c r="J33" s="459" t="n"/>
      <c r="K33" s="301" t="n"/>
      <c r="L33" s="301" t="n"/>
    </row>
    <row r="34" ht="15" customHeight="1" s="221">
      <c r="A34" s="405" t="inlineStr">
        <is>
          <t>Robótica Niños</t>
        </is>
      </c>
      <c r="B34" s="405" t="inlineStr">
        <is>
          <t>Ninguno</t>
        </is>
      </c>
      <c r="C34" s="406" t="n"/>
      <c r="D34" s="460" t="n"/>
      <c r="E34" s="301" t="n"/>
      <c r="F34" s="301" t="n"/>
      <c r="G34" s="400" t="inlineStr">
        <is>
          <t>► SUELDOS Y HONORARIOS ✏️</t>
        </is>
      </c>
      <c r="K34" s="301" t="n"/>
      <c r="L34" s="301" t="n"/>
    </row>
    <row r="35" ht="15" customHeight="1" s="221">
      <c r="A35" s="410" t="inlineStr">
        <is>
          <t>ANDE Casa</t>
        </is>
      </c>
      <c r="B35" s="410" t="inlineStr">
        <is>
          <t>Ninguno</t>
        </is>
      </c>
      <c r="C35" s="411" t="n"/>
      <c r="D35" s="463" t="n"/>
      <c r="E35" s="301" t="n"/>
      <c r="F35" s="301" t="n"/>
      <c r="G35" s="403" t="inlineStr">
        <is>
          <t>Sueldo Aracely</t>
        </is>
      </c>
      <c r="H35" s="403" t="inlineStr">
        <is>
          <t>Ninguno</t>
        </is>
      </c>
      <c r="I35" s="404" t="n">
        <v>0</v>
      </c>
      <c r="J35" s="459" t="n"/>
      <c r="K35" s="301" t="n"/>
      <c r="L35" s="301" t="n"/>
    </row>
    <row r="36" ht="15" customHeight="1" s="221">
      <c r="A36" s="405" t="inlineStr">
        <is>
          <t>Expensa Casa</t>
        </is>
      </c>
      <c r="B36" s="405" t="inlineStr">
        <is>
          <t>Ninguno</t>
        </is>
      </c>
      <c r="C36" s="406" t="n"/>
      <c r="D36" s="460" t="n"/>
      <c r="E36" s="301" t="n"/>
      <c r="F36" s="301" t="n"/>
      <c r="G36" s="407" t="inlineStr">
        <is>
          <t>Sueldo Fátima</t>
        </is>
      </c>
      <c r="H36" s="407" t="inlineStr">
        <is>
          <t>Ninguno</t>
        </is>
      </c>
      <c r="I36" s="408" t="n">
        <v>0</v>
      </c>
      <c r="J36" s="461" t="n"/>
      <c r="K36" s="301" t="n"/>
      <c r="L36" s="301" t="n"/>
    </row>
    <row r="37" ht="15" customHeight="1" s="221">
      <c r="A37" s="410" t="inlineStr">
        <is>
          <t>Cajubi Marco</t>
        </is>
      </c>
      <c r="B37" s="410" t="inlineStr">
        <is>
          <t>Ninguno</t>
        </is>
      </c>
      <c r="C37" s="411" t="n"/>
      <c r="D37" s="463" t="n"/>
      <c r="E37" s="301" t="n"/>
      <c r="F37" s="301" t="n"/>
      <c r="G37" s="403" t="inlineStr">
        <is>
          <t>Honorario Contador</t>
        </is>
      </c>
      <c r="H37" s="403" t="inlineStr">
        <is>
          <t>Ninguno</t>
        </is>
      </c>
      <c r="I37" s="404" t="n">
        <v>0</v>
      </c>
      <c r="J37" s="459" t="n"/>
      <c r="K37" s="301" t="n"/>
      <c r="L37" s="301" t="n"/>
    </row>
    <row r="38" ht="15" customHeight="1" s="221">
      <c r="A38" s="405" t="inlineStr">
        <is>
          <t>Mutual Marco</t>
        </is>
      </c>
      <c r="B38" s="405" t="inlineStr">
        <is>
          <t>Ninguno</t>
        </is>
      </c>
      <c r="C38" s="406" t="n"/>
      <c r="D38" s="460" t="n"/>
      <c r="E38" s="301" t="n"/>
      <c r="F38" s="301" t="n"/>
      <c r="G38" s="407" t="inlineStr">
        <is>
          <t>Salario Administrador</t>
        </is>
      </c>
      <c r="H38" s="407" t="inlineStr">
        <is>
          <t>Ninguno</t>
        </is>
      </c>
      <c r="I38" s="408" t="n">
        <v>0</v>
      </c>
      <c r="J38" s="461" t="n"/>
      <c r="K38" s="301" t="n"/>
      <c r="L38" s="301" t="n"/>
    </row>
    <row r="39" ht="15" customHeight="1" s="221">
      <c r="A39" s="410" t="inlineStr">
        <is>
          <t>Ña Luisa</t>
        </is>
      </c>
      <c r="B39" s="410" t="inlineStr">
        <is>
          <t>Ninguno</t>
        </is>
      </c>
      <c r="C39" s="411" t="n"/>
      <c r="D39" s="463" t="n"/>
      <c r="E39" s="301" t="n"/>
      <c r="F39" s="301" t="n"/>
      <c r="G39" s="403" t="inlineStr">
        <is>
          <t>Honorario Mant. Sistema</t>
        </is>
      </c>
      <c r="H39" s="403" t="inlineStr">
        <is>
          <t>Ninguno</t>
        </is>
      </c>
      <c r="I39" s="404" t="n">
        <v>0</v>
      </c>
      <c r="J39" s="459" t="n"/>
      <c r="K39" s="301" t="n"/>
      <c r="L39" s="301" t="n"/>
    </row>
    <row r="40" ht="15" customHeight="1" s="221">
      <c r="A40" s="405" t="inlineStr">
        <is>
          <t>Seguro Médico Papá y Mamá</t>
        </is>
      </c>
      <c r="B40" s="405" t="inlineStr">
        <is>
          <t>Ninguno</t>
        </is>
      </c>
      <c r="C40" s="406" t="n"/>
      <c r="D40" s="460" t="n"/>
      <c r="E40" s="301" t="n"/>
      <c r="F40" s="301" t="n"/>
      <c r="G40" s="400" t="inlineStr">
        <is>
          <t>► TELEFONÍA E INTERNET ✏️</t>
        </is>
      </c>
      <c r="K40" s="301" t="n"/>
      <c r="L40" s="301" t="n"/>
    </row>
    <row r="41" ht="15" customHeight="1" s="221">
      <c r="A41" s="413" t="inlineStr">
        <is>
          <t>► CUOTAS Y PRÉSTAMOS ✏️</t>
        </is>
      </c>
      <c r="B41" s="256" t="n"/>
      <c r="C41" s="256" t="n"/>
      <c r="D41" s="353" t="n"/>
      <c r="E41" s="301" t="n"/>
      <c r="F41" s="301" t="n"/>
      <c r="G41" s="403" t="inlineStr">
        <is>
          <t>Celular Tigo NeuroTEA</t>
        </is>
      </c>
      <c r="H41" s="403" t="inlineStr">
        <is>
          <t>Ninguno</t>
        </is>
      </c>
      <c r="I41" s="404" t="n">
        <v>0</v>
      </c>
      <c r="J41" s="459" t="n"/>
      <c r="K41" s="301" t="n"/>
      <c r="L41" s="301" t="n"/>
    </row>
    <row r="42" ht="15" customHeight="1" s="221">
      <c r="A42" s="410" t="inlineStr">
        <is>
          <t>Auto Laura Cuota</t>
        </is>
      </c>
      <c r="B42" s="410" t="inlineStr">
        <is>
          <t>Ninguno</t>
        </is>
      </c>
      <c r="C42" s="411" t="n"/>
      <c r="D42" s="463" t="n"/>
      <c r="E42" s="301" t="n"/>
      <c r="F42" s="301" t="n"/>
      <c r="G42" s="407" t="inlineStr">
        <is>
          <t>Celular Tigo Sistema</t>
        </is>
      </c>
      <c r="H42" s="407" t="inlineStr">
        <is>
          <t>Ninguno</t>
        </is>
      </c>
      <c r="I42" s="408" t="n">
        <v>0</v>
      </c>
      <c r="J42" s="461" t="n"/>
      <c r="K42" s="301" t="n"/>
      <c r="L42" s="301" t="n"/>
    </row>
    <row r="43" ht="15" customHeight="1" s="221">
      <c r="A43" s="405" t="inlineStr">
        <is>
          <t>Coop. Universitaria Clara</t>
        </is>
      </c>
      <c r="B43" s="405" t="inlineStr">
        <is>
          <t>Ninguno</t>
        </is>
      </c>
      <c r="C43" s="406" t="n"/>
      <c r="D43" s="460" t="n"/>
      <c r="E43" s="301" t="n"/>
      <c r="F43" s="301" t="n"/>
      <c r="G43" s="403" t="inlineStr">
        <is>
          <t>WhatsFlow</t>
        </is>
      </c>
      <c r="H43" s="403" t="inlineStr">
        <is>
          <t>Ninguno</t>
        </is>
      </c>
      <c r="I43" s="404" t="n">
        <v>0</v>
      </c>
      <c r="J43" s="459" t="n"/>
      <c r="K43" s="301" t="n"/>
      <c r="L43" s="301" t="n"/>
    </row>
    <row r="44" ht="15" customHeight="1" s="221">
      <c r="A44" s="410" t="inlineStr">
        <is>
          <t>Coomecipar Clara</t>
        </is>
      </c>
      <c r="B44" s="410" t="inlineStr">
        <is>
          <t>Ninguno</t>
        </is>
      </c>
      <c r="C44" s="411" t="n"/>
      <c r="D44" s="463" t="n"/>
      <c r="E44" s="301" t="n"/>
      <c r="F44" s="301" t="n"/>
      <c r="G44" s="407" t="inlineStr">
        <is>
          <t>Internet NeuroTEA</t>
        </is>
      </c>
      <c r="H44" s="407" t="inlineStr">
        <is>
          <t>Ninguno</t>
        </is>
      </c>
      <c r="I44" s="408" t="n">
        <v>0</v>
      </c>
      <c r="J44" s="461" t="n"/>
      <c r="K44" s="301" t="n"/>
      <c r="L44" s="301" t="n"/>
    </row>
    <row r="45" ht="15" customHeight="1" s="221">
      <c r="A45" s="414" t="inlineStr">
        <is>
          <t>Tarjeta Cred. Coomecipar</t>
        </is>
      </c>
      <c r="B45" s="414" t="inlineStr">
        <is>
          <t>Ninguno</t>
        </is>
      </c>
      <c r="C45" s="415" t="n"/>
      <c r="D45" s="465" t="n"/>
      <c r="E45" s="301" t="n"/>
      <c r="F45" s="301" t="n"/>
      <c r="G45" s="400" t="inlineStr">
        <is>
          <t>► IMPUESTOS ✏️</t>
        </is>
      </c>
      <c r="K45" s="301" t="n"/>
      <c r="L45" s="301" t="n"/>
    </row>
    <row r="46" ht="15" customHeight="1" s="221">
      <c r="A46" s="401" t="inlineStr">
        <is>
          <t>Solar Préstamo 1</t>
        </is>
      </c>
      <c r="B46" s="401" t="inlineStr">
        <is>
          <t>Ninguno</t>
        </is>
      </c>
      <c r="C46" s="402" t="n"/>
      <c r="D46" s="458" t="n"/>
      <c r="E46" s="301" t="n"/>
      <c r="F46" s="301" t="n"/>
      <c r="G46" s="403" t="inlineStr">
        <is>
          <t>IVA</t>
        </is>
      </c>
      <c r="H46" s="403" t="inlineStr">
        <is>
          <t>Ninguno</t>
        </is>
      </c>
      <c r="I46" s="404" t="n">
        <v>0</v>
      </c>
      <c r="J46" s="459" t="n"/>
      <c r="K46" s="301" t="n"/>
      <c r="L46" s="301" t="n"/>
    </row>
    <row r="47" ht="15" customHeight="1" s="221">
      <c r="A47" s="405" t="inlineStr">
        <is>
          <t>Solar Préstamo 2</t>
        </is>
      </c>
      <c r="B47" s="405" t="inlineStr">
        <is>
          <t>Ninguno</t>
        </is>
      </c>
      <c r="C47" s="406" t="n"/>
      <c r="D47" s="460" t="n"/>
      <c r="E47" s="301" t="n"/>
      <c r="F47" s="301" t="n"/>
      <c r="G47" s="400" t="inlineStr">
        <is>
          <t>► EVENTOS NT ✏️</t>
        </is>
      </c>
      <c r="K47" s="301" t="n"/>
      <c r="L47" s="301" t="n"/>
    </row>
    <row r="48" ht="15" customHeight="1" s="221">
      <c r="A48" s="410" t="inlineStr">
        <is>
          <t>Préstamo Lizzi Sueldos</t>
        </is>
      </c>
      <c r="B48" s="410" t="inlineStr">
        <is>
          <t>Ninguno</t>
        </is>
      </c>
      <c r="C48" s="411" t="n"/>
      <c r="D48" s="463" t="n"/>
      <c r="E48" s="301" t="n"/>
      <c r="F48" s="301" t="n"/>
      <c r="G48" s="403" t="inlineStr">
        <is>
          <t>Día del Niño NT</t>
        </is>
      </c>
      <c r="H48" s="403" t="inlineStr">
        <is>
          <t>Ninguno</t>
        </is>
      </c>
      <c r="I48" s="404" t="n">
        <v>0</v>
      </c>
      <c r="J48" s="459" t="n"/>
      <c r="K48" s="301" t="n"/>
      <c r="L48" s="301" t="n"/>
    </row>
    <row r="49" ht="15" customHeight="1" s="221">
      <c r="A49" s="405" t="inlineStr">
        <is>
          <t>Show Congelador</t>
        </is>
      </c>
      <c r="B49" s="405" t="inlineStr">
        <is>
          <t>Ninguno</t>
        </is>
      </c>
      <c r="C49" s="406" t="n"/>
      <c r="D49" s="460" t="n"/>
      <c r="E49" s="301" t="n"/>
      <c r="F49" s="301" t="n"/>
      <c r="G49" s="407" t="inlineStr">
        <is>
          <t>San Juan NT</t>
        </is>
      </c>
      <c r="H49" s="407" t="inlineStr">
        <is>
          <t>Ninguno</t>
        </is>
      </c>
      <c r="I49" s="408" t="n">
        <v>0</v>
      </c>
      <c r="J49" s="461" t="n"/>
      <c r="K49" s="301" t="n"/>
      <c r="L49" s="301" t="n"/>
    </row>
    <row r="50" ht="15" customHeight="1" s="221">
      <c r="A50" s="410" t="inlineStr">
        <is>
          <t>Olier Heladera</t>
        </is>
      </c>
      <c r="B50" s="410" t="inlineStr">
        <is>
          <t>Ninguno</t>
        </is>
      </c>
      <c r="C50" s="411" t="n"/>
      <c r="D50" s="463" t="n"/>
      <c r="E50" s="301" t="n"/>
      <c r="F50" s="301" t="n"/>
      <c r="G50" s="403" t="inlineStr">
        <is>
          <t>Día del Autismo NT</t>
        </is>
      </c>
      <c r="H50" s="403" t="inlineStr">
        <is>
          <t>Ninguno</t>
        </is>
      </c>
      <c r="I50" s="404" t="n">
        <v>0</v>
      </c>
      <c r="J50" s="459" t="n"/>
      <c r="K50" s="301" t="n"/>
      <c r="L50" s="301" t="n"/>
    </row>
    <row r="51" ht="15" customHeight="1" s="221">
      <c r="A51" s="413" t="inlineStr">
        <is>
          <t>► SUSCRIPCIONES E INTERNET ✏️</t>
        </is>
      </c>
      <c r="B51" s="256" t="n"/>
      <c r="C51" s="256" t="n"/>
      <c r="D51" s="353" t="n"/>
      <c r="E51" s="301" t="n"/>
      <c r="F51" s="301" t="n"/>
      <c r="G51" s="407" t="inlineStr">
        <is>
          <t>Clausura Padres NT</t>
        </is>
      </c>
      <c r="H51" s="407" t="inlineStr">
        <is>
          <t>Ninguno</t>
        </is>
      </c>
      <c r="I51" s="408" t="n">
        <v>0</v>
      </c>
      <c r="J51" s="461" t="n"/>
      <c r="K51" s="301" t="n"/>
      <c r="L51" s="301" t="n"/>
    </row>
    <row r="52" ht="15" customHeight="1" s="221">
      <c r="A52" s="410" t="inlineStr">
        <is>
          <t>Giganet</t>
        </is>
      </c>
      <c r="B52" s="410" t="inlineStr">
        <is>
          <t>Ninguno</t>
        </is>
      </c>
      <c r="C52" s="411" t="n"/>
      <c r="D52" s="463" t="n"/>
      <c r="E52" s="301" t="n"/>
      <c r="F52" s="301" t="n"/>
      <c r="G52" s="403" t="inlineStr">
        <is>
          <t>Navidad Papá Noel NT</t>
        </is>
      </c>
      <c r="H52" s="403" t="inlineStr">
        <is>
          <t>Ninguno</t>
        </is>
      </c>
      <c r="I52" s="404" t="n">
        <v>0</v>
      </c>
      <c r="J52" s="459" t="n"/>
      <c r="K52" s="301" t="n"/>
      <c r="L52" s="301" t="n"/>
    </row>
    <row r="53" ht="15" customHeight="1" s="221">
      <c r="A53" s="405" t="inlineStr">
        <is>
          <t>Tigo Internet/Celulares</t>
        </is>
      </c>
      <c r="B53" s="405" t="inlineStr">
        <is>
          <t>Ninguno</t>
        </is>
      </c>
      <c r="C53" s="406" t="n"/>
      <c r="D53" s="460" t="n"/>
      <c r="E53" s="301" t="n"/>
      <c r="F53" s="301" t="n"/>
      <c r="G53" s="407" t="inlineStr">
        <is>
          <t>Cena Fin de Año NT</t>
        </is>
      </c>
      <c r="H53" s="407" t="inlineStr">
        <is>
          <t>Ninguno</t>
        </is>
      </c>
      <c r="I53" s="408" t="n">
        <v>0</v>
      </c>
      <c r="J53" s="461" t="n"/>
      <c r="K53" s="301" t="n"/>
      <c r="L53" s="301" t="n"/>
    </row>
    <row r="54" ht="15" customHeight="1" s="221">
      <c r="A54" s="410" t="inlineStr">
        <is>
          <t>Tigo Familiar</t>
        </is>
      </c>
      <c r="B54" s="410" t="inlineStr">
        <is>
          <t>Ninguno</t>
        </is>
      </c>
      <c r="C54" s="411" t="n"/>
      <c r="D54" s="463" t="n"/>
      <c r="E54" s="301" t="n"/>
      <c r="F54" s="301" t="n"/>
      <c r="G54" s="400" t="inlineStr">
        <is>
          <t>► GASTOS VARIABLES NT 🔗</t>
        </is>
      </c>
      <c r="K54" s="301" t="n"/>
      <c r="L54" s="301" t="n"/>
    </row>
    <row r="55" ht="15" customHeight="1" s="221">
      <c r="A55" s="405" t="inlineStr">
        <is>
          <t>Google One</t>
        </is>
      </c>
      <c r="B55" s="405" t="inlineStr">
        <is>
          <t>Ninguno</t>
        </is>
      </c>
      <c r="C55" s="406" t="n"/>
      <c r="D55" s="460" t="n"/>
      <c r="E55" s="301" t="n"/>
      <c r="F55" s="301" t="n"/>
      <c r="G55" s="403" t="inlineStr">
        <is>
          <t>Insumos NT</t>
        </is>
      </c>
      <c r="H55" s="403" t="inlineStr">
        <is>
          <t>Ninguno</t>
        </is>
      </c>
      <c r="I55" s="404">
        <f>SUMIFS('Ing-Egr Junio 2026'!F4:F103,'Ing-Egr Junio 2026'!B4:B103,"Egreso NT",'Ing-Egr Junio 2026'!C4:C103,G55)</f>
        <v/>
      </c>
      <c r="J55" s="459" t="n"/>
      <c r="K55" s="301" t="n"/>
      <c r="L55" s="301" t="n"/>
    </row>
    <row r="56" ht="15" customHeight="1" s="221">
      <c r="A56" s="410" t="inlineStr">
        <is>
          <t>ChatGPT</t>
        </is>
      </c>
      <c r="B56" s="410" t="inlineStr">
        <is>
          <t>Ninguno</t>
        </is>
      </c>
      <c r="C56" s="411" t="n"/>
      <c r="D56" s="463" t="n"/>
      <c r="E56" s="301" t="n"/>
      <c r="F56" s="301" t="n"/>
      <c r="G56" s="407" t="inlineStr">
        <is>
          <t>Papelería NT</t>
        </is>
      </c>
      <c r="H56" s="407" t="inlineStr">
        <is>
          <t>Ninguno</t>
        </is>
      </c>
      <c r="I56" s="408">
        <f>SUMIFS('Ing-Egr Junio 2026'!F4:F103,'Ing-Egr Junio 2026'!B4:B103,"Egreso NT",'Ing-Egr Junio 2026'!C4:C103,G56)</f>
        <v/>
      </c>
      <c r="J56" s="461" t="n"/>
      <c r="K56" s="301" t="n"/>
      <c r="L56" s="301" t="n"/>
    </row>
    <row r="57" ht="15" customHeight="1" s="221">
      <c r="A57" s="414" t="inlineStr">
        <is>
          <t>Claude Marco</t>
        </is>
      </c>
      <c r="B57" s="414" t="inlineStr">
        <is>
          <t>Ninguno</t>
        </is>
      </c>
      <c r="C57" s="415" t="n"/>
      <c r="D57" s="465" t="n"/>
      <c r="E57" s="301" t="n"/>
      <c r="F57" s="301" t="n"/>
      <c r="G57" s="403" t="inlineStr">
        <is>
          <t>Mantenimiento NT</t>
        </is>
      </c>
      <c r="H57" s="403" t="inlineStr">
        <is>
          <t>Ninguno</t>
        </is>
      </c>
      <c r="I57" s="404">
        <f>SUMIFS('Ing-Egr Junio 2026'!F4:F103,'Ing-Egr Junio 2026'!B4:B103,"Egreso NT",'Ing-Egr Junio 2026'!C4:C103,G57)</f>
        <v/>
      </c>
      <c r="J57" s="459" t="n"/>
      <c r="K57" s="301" t="n"/>
      <c r="L57" s="301" t="n"/>
    </row>
    <row r="58" ht="15" customHeight="1" s="221">
      <c r="A58" s="401" t="inlineStr">
        <is>
          <t>Claude Clara</t>
        </is>
      </c>
      <c r="B58" s="401" t="inlineStr">
        <is>
          <t>Ninguno</t>
        </is>
      </c>
      <c r="C58" s="402" t="n"/>
      <c r="D58" s="458" t="n"/>
      <c r="E58" s="301" t="n"/>
      <c r="F58" s="301" t="n"/>
      <c r="G58" s="407" t="inlineStr">
        <is>
          <t>Gastos Cursos NT</t>
        </is>
      </c>
      <c r="H58" s="407" t="inlineStr">
        <is>
          <t>Ninguno</t>
        </is>
      </c>
      <c r="I58" s="416">
        <f>SUMIFS('Ing-Egr Junio 2026'!F4:F103,'Ing-Egr Junio 2026'!B4:B103,"Egreso NT",'Ing-Egr Junio 2026'!C4:C103,G58)</f>
        <v/>
      </c>
      <c r="J58" s="461" t="n"/>
      <c r="K58" s="301" t="n"/>
      <c r="L58" s="301" t="n"/>
    </row>
    <row r="59" ht="15" customHeight="1" s="221">
      <c r="A59" s="405" t="inlineStr">
        <is>
          <t>iLovePDF</t>
        </is>
      </c>
      <c r="B59" s="405" t="inlineStr">
        <is>
          <t>Ninguno</t>
        </is>
      </c>
      <c r="C59" s="406" t="n"/>
      <c r="D59" s="460" t="n"/>
      <c r="E59" s="301" t="n"/>
      <c r="F59" s="301" t="n"/>
      <c r="G59" s="403" t="inlineStr">
        <is>
          <t>Gastos Varios NT</t>
        </is>
      </c>
      <c r="H59" s="403" t="inlineStr">
        <is>
          <t>Ninguno</t>
        </is>
      </c>
      <c r="I59" s="417">
        <f>SUMIFS('Ing-Egr Junio 2026'!F4:F103,'Ing-Egr Junio 2026'!B4:B103,"Egreso NT",'Ing-Egr Junio 2026'!C4:C103,G59)</f>
        <v/>
      </c>
      <c r="J59" s="459" t="n"/>
      <c r="K59" s="301" t="n"/>
      <c r="L59" s="301" t="n"/>
    </row>
    <row r="60" ht="15" customHeight="1" s="221">
      <c r="A60" s="410" t="inlineStr">
        <is>
          <t>Scribd</t>
        </is>
      </c>
      <c r="B60" s="410" t="inlineStr">
        <is>
          <t>Ninguno</t>
        </is>
      </c>
      <c r="C60" s="411" t="n"/>
      <c r="D60" s="463" t="n"/>
      <c r="E60" s="301" t="n"/>
      <c r="F60" s="301" t="n"/>
      <c r="G60" s="407" t="inlineStr">
        <is>
          <t>Reserva NT 1</t>
        </is>
      </c>
      <c r="H60" s="407" t="inlineStr">
        <is>
          <t>Ninguno</t>
        </is>
      </c>
      <c r="I60" s="408">
        <f>SUMIFS('Ing-Egr Junio 2026'!F4:F103,'Ing-Egr Junio 2026'!B4:B103,"Egreso NT",'Ing-Egr Junio 2026'!C4:C103,G60)</f>
        <v/>
      </c>
      <c r="J60" s="461" t="n"/>
      <c r="K60" s="301" t="n"/>
      <c r="L60" s="301" t="n"/>
    </row>
    <row r="61" ht="15" customHeight="1" s="221">
      <c r="A61" s="405" t="inlineStr">
        <is>
          <t>Netflix</t>
        </is>
      </c>
      <c r="B61" s="405" t="inlineStr">
        <is>
          <t>Ninguno</t>
        </is>
      </c>
      <c r="C61" s="406" t="n"/>
      <c r="D61" s="460" t="n"/>
      <c r="E61" s="301" t="n"/>
      <c r="F61" s="301" t="n"/>
      <c r="G61" s="403" t="inlineStr">
        <is>
          <t>Reserva NT 2</t>
        </is>
      </c>
      <c r="H61" s="403" t="inlineStr">
        <is>
          <t>Ninguno</t>
        </is>
      </c>
      <c r="I61" s="404">
        <f>SUMIFS('Ing-Egr Junio 2026'!F4:F103,'Ing-Egr Junio 2026'!B4:B103,"Egreso NT",'Ing-Egr Junio 2026'!C4:C103,G61)</f>
        <v/>
      </c>
      <c r="J61" s="459" t="n"/>
      <c r="K61" s="301" t="n"/>
      <c r="L61" s="301" t="n"/>
    </row>
    <row r="62" ht="15" customHeight="1" s="221">
      <c r="A62" s="413" t="inlineStr">
        <is>
          <t>► GASTOS VARIABLES 🔗</t>
        </is>
      </c>
      <c r="B62" s="256" t="n"/>
      <c r="C62" s="256" t="n"/>
      <c r="D62" s="353" t="n"/>
      <c r="E62" s="301" t="n"/>
      <c r="F62" s="301" t="n"/>
      <c r="G62" s="407" t="inlineStr">
        <is>
          <t>Reserva NT 3</t>
        </is>
      </c>
      <c r="H62" s="407" t="inlineStr">
        <is>
          <t>Ninguno</t>
        </is>
      </c>
      <c r="I62" s="408">
        <f>SUMIFS('Ing-Egr Junio 2026'!F4:F103,'Ing-Egr Junio 2026'!B4:B103,"Egreso NT",'Ing-Egr Junio 2026'!C4:C103,G62)</f>
        <v/>
      </c>
      <c r="J62" s="461" t="n"/>
      <c r="K62" s="301" t="n"/>
      <c r="L62" s="301" t="n"/>
    </row>
    <row r="63" ht="15" customHeight="1" s="221">
      <c r="A63" s="410" t="inlineStr">
        <is>
          <t>Combustible</t>
        </is>
      </c>
      <c r="B63" s="410" t="inlineStr">
        <is>
          <t>Ninguno</t>
        </is>
      </c>
      <c r="C63" s="411">
        <f>SUMIFS('Ing-Egr Junio 2026'!F4:F103,'Ing-Egr Junio 2026'!B4:B103,"Egreso Familiar",'Ing-Egr Junio 2026'!C4:C103,A63)</f>
        <v/>
      </c>
      <c r="D63" s="463" t="n"/>
      <c r="E63" s="301" t="n"/>
      <c r="F63" s="301" t="n"/>
      <c r="G63" s="301" t="n"/>
      <c r="H63" s="301" t="n"/>
      <c r="I63" s="301" t="n"/>
      <c r="J63" s="466" t="n"/>
      <c r="K63" s="301" t="n"/>
      <c r="L63" s="301" t="n"/>
    </row>
    <row r="64" ht="15" customHeight="1" s="221">
      <c r="A64" s="405" t="inlineStr">
        <is>
          <t>Supermercado</t>
        </is>
      </c>
      <c r="B64" s="405" t="inlineStr">
        <is>
          <t>Ninguno</t>
        </is>
      </c>
      <c r="C64" s="406">
        <f>SUMIFS('Ing-Egr Junio 2026'!F4:F103,'Ing-Egr Junio 2026'!B4:B103,"Egreso Familiar",'Ing-Egr Junio 2026'!C4:C103,A64)</f>
        <v/>
      </c>
      <c r="D64" s="460" t="n"/>
      <c r="E64" s="301" t="n"/>
      <c r="F64" s="301" t="n"/>
      <c r="G64" s="418" t="inlineStr">
        <is>
          <t>TOTAL NT PAGADOS</t>
        </is>
      </c>
      <c r="I64" s="419">
        <f>SUMIF(H30:H62,"Pagado",I30:I62)</f>
        <v/>
      </c>
      <c r="J64" s="467" t="n"/>
      <c r="K64" s="301" t="n"/>
      <c r="L64" s="301" t="n"/>
    </row>
    <row r="65" ht="15" customHeight="1" s="221">
      <c r="A65" s="410" t="inlineStr">
        <is>
          <t>Farmacia</t>
        </is>
      </c>
      <c r="B65" s="410" t="inlineStr">
        <is>
          <t>Ninguno</t>
        </is>
      </c>
      <c r="C65" s="411">
        <f>SUMIFS('Ing-Egr Junio 2026'!F4:F103,'Ing-Egr Junio 2026'!B4:B103,"Egreso Familiar",'Ing-Egr Junio 2026'!C4:C103,A65)</f>
        <v/>
      </c>
      <c r="D65" s="468">
        <f>C72</f>
        <v/>
      </c>
      <c r="E65" s="301" t="n"/>
      <c r="F65" s="301" t="n"/>
      <c r="G65" s="422" t="inlineStr">
        <is>
          <t>TOTAL NT PENDIENTES</t>
        </is>
      </c>
      <c r="I65" s="423">
        <f>SUMIF(H30:H62,"Pendiente",I30:I62)</f>
        <v/>
      </c>
      <c r="J65" s="469" t="n"/>
      <c r="K65" s="301" t="n"/>
      <c r="L65" s="301" t="n"/>
    </row>
    <row r="66" ht="15" customHeight="1" s="221">
      <c r="A66" s="405" t="inlineStr">
        <is>
          <t>Recreación</t>
        </is>
      </c>
      <c r="B66" s="405" t="inlineStr">
        <is>
          <t>Ninguno</t>
        </is>
      </c>
      <c r="C66" s="406">
        <f>SUMIFS('Ing-Egr Junio 2026'!F4:F103,'Ing-Egr Junio 2026'!B4:B103,"Egreso Familiar",'Ing-Egr Junio 2026'!C4:C103,A66)</f>
        <v/>
      </c>
      <c r="D66" s="470">
        <f>C73</f>
        <v/>
      </c>
      <c r="E66" s="301" t="n"/>
      <c r="F66" s="301" t="n"/>
      <c r="G66" s="301" t="n"/>
      <c r="H66" s="301" t="n"/>
      <c r="I66" s="301" t="n"/>
      <c r="J66" s="466" t="n"/>
      <c r="K66" s="301" t="n"/>
      <c r="L66" s="301" t="n"/>
    </row>
    <row r="67" ht="15" customHeight="1" s="221">
      <c r="A67" s="410" t="inlineStr">
        <is>
          <t>Gastos Varios</t>
        </is>
      </c>
      <c r="B67" s="410" t="inlineStr">
        <is>
          <t>Ninguno</t>
        </is>
      </c>
      <c r="C67" s="411">
        <f>SUMIFS('Ing-Egr Junio 2026'!F4:F103,'Ing-Egr Junio 2026'!B4:B103,"Egreso Familiar",'Ing-Egr Junio 2026'!C4:C103,A67)</f>
        <v/>
      </c>
      <c r="D67" s="463" t="n"/>
      <c r="E67" s="301" t="n"/>
      <c r="F67" s="301" t="n"/>
      <c r="G67" s="386" t="inlineStr">
        <is>
          <t>📊 SALUD FINANCIERA NEUROTEA</t>
        </is>
      </c>
      <c r="L67" s="301" t="n"/>
    </row>
    <row r="68" ht="15" customHeight="1" s="221">
      <c r="A68" s="405" t="inlineStr">
        <is>
          <t>Reserva Fam 1</t>
        </is>
      </c>
      <c r="B68" s="405" t="inlineStr">
        <is>
          <t>Ninguno</t>
        </is>
      </c>
      <c r="C68" s="406">
        <f>SUMIFS('Ing-Egr Junio 2026'!F4:F103,'Ing-Egr Junio 2026'!B4:B103,"Egreso Familiar",'Ing-Egr Junio 2026'!C4:C103,A68)</f>
        <v/>
      </c>
      <c r="D68" s="460" t="n"/>
      <c r="E68" s="301" t="n"/>
      <c r="F68" s="301" t="n"/>
      <c r="G68" s="398" t="inlineStr">
        <is>
          <t>Concepto</t>
        </is>
      </c>
      <c r="H68" s="398" t="inlineStr">
        <is>
          <t>% Ideal</t>
        </is>
      </c>
      <c r="I68" s="426" t="inlineStr">
        <is>
          <t>Monto Ideal</t>
        </is>
      </c>
      <c r="J68" s="471" t="inlineStr">
        <is>
          <t>Monto Real</t>
        </is>
      </c>
      <c r="K68" s="398" t="inlineStr">
        <is>
          <t>Estado</t>
        </is>
      </c>
      <c r="L68" s="301" t="n"/>
    </row>
    <row r="69" ht="15" customHeight="1" s="221">
      <c r="A69" s="410" t="inlineStr">
        <is>
          <t>Reserva Fam 2</t>
        </is>
      </c>
      <c r="B69" s="410" t="inlineStr">
        <is>
          <t>Ninguno</t>
        </is>
      </c>
      <c r="C69" s="411">
        <f>SUMIFS('Ing-Egr Junio 2026'!F4:F103,'Ing-Egr Junio 2026'!B4:B103,"Egreso Familiar",'Ing-Egr Junio 2026'!C4:C103,A69)</f>
        <v/>
      </c>
      <c r="D69" s="463" t="n"/>
      <c r="E69" s="301" t="n"/>
      <c r="F69" s="301" t="n"/>
      <c r="G69" s="301" t="inlineStr">
        <is>
          <t>Gastos Operativos (máx 75%)</t>
        </is>
      </c>
      <c r="H69" s="427" t="n">
        <v>0.75</v>
      </c>
      <c r="I69" s="328">
        <f>J12*0.75</f>
        <v/>
      </c>
      <c r="J69" s="466">
        <f>I64+I65</f>
        <v/>
      </c>
      <c r="K69" s="428">
        <f>IF(J12=0,"-",IF(J69/J12&lt;=0.75,"🟢 OK",IF(J69/J12&lt;=0.9,"🟡 PRECAUCIÓN","🔴 ALARMA")))</f>
        <v/>
      </c>
      <c r="L69" s="301" t="n"/>
    </row>
    <row r="70" ht="15" customHeight="1" s="221">
      <c r="A70" s="414" t="inlineStr">
        <is>
          <t>Reserva Fam 3</t>
        </is>
      </c>
      <c r="B70" s="414" t="inlineStr">
        <is>
          <t>Ninguno</t>
        </is>
      </c>
      <c r="C70" s="415">
        <f>SUMIFS('Ing-Egr Junio 2026'!F4:F103,'Ing-Egr Junio 2026'!B4:B103,"Egreso Familiar",'Ing-Egr Junio 2026'!C4:C103,A70)</f>
        <v/>
      </c>
      <c r="D70" s="465" t="n"/>
      <c r="E70" s="301" t="n"/>
      <c r="F70" s="301" t="n"/>
      <c r="G70" s="301" t="inlineStr">
        <is>
          <t>Ganancia (10%)</t>
        </is>
      </c>
      <c r="H70" s="427" t="n">
        <v>0.1</v>
      </c>
      <c r="I70" s="328">
        <f>J12*0.1</f>
        <v/>
      </c>
      <c r="J70" s="466">
        <f>D22</f>
        <v/>
      </c>
      <c r="K70" s="429">
        <f>IF(J70&gt;=I70,"🟢","🔴")</f>
        <v/>
      </c>
      <c r="L70" s="301" t="n"/>
    </row>
    <row r="71" ht="15" customHeight="1" s="221">
      <c r="A71" s="301" t="n"/>
      <c r="B71" s="301" t="n"/>
      <c r="C71" s="301" t="n"/>
      <c r="D71" s="301" t="n"/>
      <c r="E71" s="301" t="n"/>
      <c r="F71" s="301" t="n"/>
      <c r="G71" s="301" t="inlineStr">
        <is>
          <t>Inversiones (5%)</t>
        </is>
      </c>
      <c r="H71" s="427" t="n">
        <v>0.05</v>
      </c>
      <c r="I71" s="328">
        <f>J12*0.05</f>
        <v/>
      </c>
      <c r="J71" s="328" t="n">
        <v>0</v>
      </c>
      <c r="K71" s="429">
        <f>IF(J71&gt;=I71,"🟢","🔴")</f>
        <v/>
      </c>
      <c r="L71" s="301" t="n"/>
    </row>
    <row r="72" ht="15" customHeight="1" s="221">
      <c r="A72" s="430" t="inlineStr">
        <is>
          <t>TOTAL FAM. PAGADOS</t>
        </is>
      </c>
      <c r="B72" s="353" t="n"/>
      <c r="C72" s="431">
        <f>SUMIF(B30:B70,"Pagado",C30:C70)</f>
        <v/>
      </c>
      <c r="D72" s="432" t="n"/>
      <c r="E72" s="301" t="n"/>
      <c r="F72" s="301" t="n"/>
      <c r="G72" s="301" t="inlineStr">
        <is>
          <t>Imprevistos (5%)</t>
        </is>
      </c>
      <c r="H72" s="427" t="n">
        <v>0.05</v>
      </c>
      <c r="I72" s="328">
        <f>J12*0.05</f>
        <v/>
      </c>
      <c r="J72" s="328" t="n">
        <v>0</v>
      </c>
      <c r="K72" s="429">
        <f>IF(J72&gt;=I72,"🟢","🔴")</f>
        <v/>
      </c>
      <c r="L72" s="301" t="n"/>
    </row>
    <row r="73" ht="15" customHeight="1" s="221">
      <c r="A73" s="433" t="inlineStr">
        <is>
          <t>TOTAL FAM. PENDIENTES</t>
        </is>
      </c>
      <c r="B73" s="353" t="n"/>
      <c r="C73" s="434">
        <f>SUMIF(B30:B70,"Pendiente",C30:C70)</f>
        <v/>
      </c>
      <c r="D73" s="435" t="n"/>
      <c r="E73" s="301" t="n"/>
      <c r="F73" s="301" t="n"/>
      <c r="G73" s="301" t="inlineStr">
        <is>
          <t>Desvío Imprevisto (5%)</t>
        </is>
      </c>
      <c r="H73" s="427" t="n">
        <v>0.05</v>
      </c>
      <c r="I73" s="328">
        <f>J12*0.05</f>
        <v/>
      </c>
      <c r="J73" s="328" t="n">
        <v>0</v>
      </c>
      <c r="K73" s="429">
        <f>IF(J73&gt;=I73,"🟢","🔴")</f>
        <v/>
      </c>
      <c r="L73" s="301" t="n"/>
    </row>
    <row r="74" ht="15" customHeight="1" s="221">
      <c r="A74" s="354" t="n"/>
      <c r="B74" s="354" t="n"/>
      <c r="C74" s="359" t="n"/>
      <c r="D74" s="360" t="n"/>
      <c r="E74" s="301" t="n"/>
      <c r="F74" s="301" t="n"/>
      <c r="G74" s="223" t="inlineStr">
        <is>
          <t>TOTAL</t>
        </is>
      </c>
      <c r="H74" s="436">
        <f>SUM(H69:H73)</f>
        <v/>
      </c>
      <c r="I74" s="437">
        <f>SUM(I69:I73)</f>
        <v/>
      </c>
      <c r="J74" s="437">
        <f>SUM(J69:J73)</f>
        <v/>
      </c>
      <c r="K74" s="301" t="n"/>
      <c r="L74" s="301" t="n"/>
    </row>
    <row r="75" ht="15" customHeight="1" s="221">
      <c r="A75" s="354" t="n"/>
      <c r="B75" s="354" t="n"/>
      <c r="C75" s="359" t="n"/>
      <c r="D75" s="360" t="n"/>
      <c r="E75" s="301" t="n"/>
      <c r="F75" s="301" t="n"/>
      <c r="G75" s="301" t="n"/>
      <c r="H75" s="301" t="n"/>
      <c r="I75" s="301" t="n"/>
      <c r="J75" s="301" t="n"/>
      <c r="K75" s="301" t="n"/>
      <c r="L75" s="301" t="n"/>
    </row>
    <row r="76" ht="15" customHeight="1" s="221">
      <c r="A76" s="354" t="n"/>
      <c r="B76" s="354" t="n"/>
      <c r="C76" s="359" t="n"/>
      <c r="D76" s="360" t="n"/>
      <c r="E76" s="301" t="n"/>
      <c r="F76" s="301" t="n"/>
      <c r="G76" s="223" t="inlineStr">
        <is>
          <t>% GASTOS SOBRE INGRESO:</t>
        </is>
      </c>
      <c r="H76" s="301" t="n"/>
      <c r="I76" s="301" t="n"/>
      <c r="J76" s="438">
        <f>IF(J12=0,0,J69/J12)</f>
        <v/>
      </c>
      <c r="K76" s="301" t="n"/>
      <c r="L76" s="301" t="n"/>
    </row>
    <row r="77" ht="15" customHeight="1" s="221">
      <c r="A77" s="354" t="n"/>
      <c r="B77" s="354" t="n"/>
      <c r="C77" s="359" t="n"/>
      <c r="D77" s="360" t="n"/>
      <c r="E77" s="301" t="n"/>
      <c r="F77" s="301" t="n"/>
      <c r="G77" s="223" t="inlineStr">
        <is>
          <t>DIAGNÓSTICO:</t>
        </is>
      </c>
      <c r="H77" s="301" t="n"/>
      <c r="I77" s="301" t="n"/>
      <c r="J77" s="439">
        <f>IF(J12=0,"Sin datos",IF(J69/J12&lt;=0.75,"🟢 CLÍNICA SANA",IF(J69/J12&lt;=0.9,"🟡 REVISAR GASTOS","🔴 SITUACIÓN CRÍTICA")))</f>
        <v/>
      </c>
      <c r="L77" s="301" t="n"/>
    </row>
    <row r="78" ht="15" customHeight="1" s="221">
      <c r="A78" s="354" t="n"/>
      <c r="B78" s="354" t="n"/>
      <c r="C78" s="359" t="n"/>
      <c r="D78" s="360" t="n"/>
      <c r="E78" s="301" t="n"/>
      <c r="F78" s="301" t="n"/>
      <c r="G78" s="301" t="n"/>
      <c r="H78" s="301" t="n"/>
      <c r="I78" s="301" t="n"/>
      <c r="J78" s="301" t="n"/>
      <c r="K78" s="301" t="n"/>
      <c r="L78" s="301" t="n"/>
    </row>
    <row r="79" ht="15" customHeight="1" s="221">
      <c r="A79" s="354" t="n"/>
      <c r="B79" s="354" t="n"/>
      <c r="C79" s="359" t="n"/>
      <c r="D79" s="360" t="n"/>
      <c r="E79" s="301" t="n"/>
      <c r="F79" s="301" t="n"/>
      <c r="G79" s="301" t="n"/>
      <c r="H79" s="301" t="n"/>
      <c r="I79" s="301" t="n"/>
      <c r="J79" s="301" t="n"/>
      <c r="K79" s="301" t="n"/>
      <c r="L79" s="301" t="n"/>
    </row>
    <row r="80" ht="15" customHeight="1" s="221">
      <c r="A80" s="301" t="n"/>
      <c r="B80" s="301" t="n"/>
      <c r="C80" s="328" t="n"/>
      <c r="D80" s="301" t="n"/>
      <c r="E80" s="301" t="n"/>
      <c r="F80" s="301" t="n"/>
      <c r="G80" s="301" t="n"/>
      <c r="H80" s="301" t="n"/>
      <c r="I80" s="301" t="n"/>
      <c r="J80" s="301" t="n"/>
      <c r="K80" s="301" t="n"/>
      <c r="L80" s="301" t="n"/>
    </row>
    <row r="81" ht="15.75" customHeight="1" s="221">
      <c r="A81" s="301" t="n"/>
      <c r="B81" s="301" t="n"/>
      <c r="C81" s="328" t="n"/>
      <c r="D81" s="301" t="n"/>
      <c r="E81" s="301" t="n"/>
      <c r="F81" s="301" t="n"/>
      <c r="G81" s="301" t="n"/>
      <c r="H81" s="301" t="n"/>
      <c r="I81" s="301" t="n"/>
      <c r="J81" s="301" t="n"/>
      <c r="K81" s="301" t="n"/>
      <c r="L81" s="301" t="n"/>
    </row>
    <row r="82" ht="15.75" customHeight="1" s="221">
      <c r="A82" s="301" t="n"/>
      <c r="B82" s="301" t="n"/>
      <c r="C82" s="328" t="n"/>
      <c r="D82" s="301" t="n"/>
      <c r="E82" s="301" t="n"/>
      <c r="F82" s="301" t="n"/>
      <c r="G82" s="301" t="n"/>
      <c r="H82" s="301" t="n"/>
      <c r="I82" s="301" t="n"/>
      <c r="J82" s="301" t="n"/>
      <c r="K82" s="301" t="n"/>
      <c r="L82" s="301" t="n"/>
    </row>
    <row r="83" ht="15" customHeight="1" s="221">
      <c r="A83" s="301" t="n"/>
      <c r="B83" s="301" t="n"/>
      <c r="C83" s="301" t="n"/>
      <c r="D83" s="301" t="n"/>
      <c r="E83" s="301" t="n"/>
      <c r="F83" s="301" t="n"/>
      <c r="G83" s="301" t="n"/>
      <c r="H83" s="301" t="n"/>
      <c r="I83" s="301" t="n"/>
      <c r="J83" s="301" t="n"/>
      <c r="K83" s="301" t="n"/>
      <c r="L83" s="301" t="n"/>
    </row>
    <row r="84" ht="15" customHeight="1" s="221">
      <c r="A84" s="301" t="n"/>
      <c r="B84" s="301" t="n"/>
      <c r="C84" s="301" t="n"/>
      <c r="D84" s="301" t="n"/>
      <c r="E84" s="301" t="n"/>
      <c r="F84" s="301" t="n"/>
      <c r="G84" s="301" t="n"/>
      <c r="H84" s="301" t="n"/>
      <c r="I84" s="301" t="n"/>
      <c r="J84" s="301" t="n"/>
      <c r="K84" s="301" t="n"/>
      <c r="L84" s="301" t="n"/>
    </row>
    <row r="85" ht="15" customHeight="1" s="221">
      <c r="A85" s="354" t="n"/>
      <c r="B85" s="354" t="n"/>
      <c r="C85" s="354" t="n"/>
      <c r="D85" s="354" t="n"/>
      <c r="E85" s="301" t="n"/>
      <c r="F85" s="301" t="n"/>
      <c r="G85" s="301" t="n"/>
      <c r="H85" s="301" t="n"/>
      <c r="I85" s="301" t="n"/>
      <c r="J85" s="301" t="n"/>
      <c r="K85" s="301" t="n"/>
      <c r="L85" s="301" t="n"/>
    </row>
    <row r="86" ht="15" customHeight="1" s="221">
      <c r="A86" s="301" t="n"/>
      <c r="B86" s="301" t="n"/>
      <c r="C86" s="301" t="n"/>
      <c r="D86" s="301" t="n"/>
      <c r="E86" s="301" t="n"/>
      <c r="F86" s="301" t="n"/>
      <c r="G86" s="301" t="n"/>
      <c r="H86" s="301" t="n"/>
      <c r="I86" s="301" t="n"/>
      <c r="J86" s="301" t="n"/>
      <c r="K86" s="301" t="n"/>
      <c r="L86" s="301" t="n"/>
    </row>
    <row r="87" ht="15" customHeight="1" s="221">
      <c r="A87" s="354" t="n"/>
      <c r="B87" s="354" t="n"/>
      <c r="C87" s="359" t="n"/>
      <c r="D87" s="360" t="n"/>
      <c r="E87" s="301" t="n"/>
      <c r="F87" s="301" t="n"/>
      <c r="G87" s="301" t="n"/>
      <c r="H87" s="301" t="n"/>
      <c r="I87" s="301" t="n"/>
      <c r="J87" s="301" t="n"/>
      <c r="K87" s="301" t="n"/>
      <c r="L87" s="301" t="n"/>
    </row>
    <row r="88" ht="15" customHeight="1" s="221">
      <c r="A88" s="354" t="n"/>
      <c r="B88" s="354" t="n"/>
      <c r="C88" s="359" t="n"/>
      <c r="D88" s="360" t="n"/>
      <c r="E88" s="301" t="n"/>
      <c r="F88" s="301" t="n"/>
      <c r="G88" s="301" t="n"/>
      <c r="H88" s="301" t="n"/>
      <c r="I88" s="301" t="n"/>
      <c r="J88" s="301" t="n"/>
      <c r="K88" s="301" t="n"/>
      <c r="L88" s="301" t="n"/>
    </row>
    <row r="89" ht="15" customHeight="1" s="221">
      <c r="A89" s="354" t="n"/>
      <c r="B89" s="354" t="n"/>
      <c r="C89" s="359" t="n"/>
      <c r="D89" s="360" t="n"/>
      <c r="E89" s="301" t="n"/>
      <c r="F89" s="301" t="n"/>
      <c r="G89" s="301" t="n"/>
      <c r="H89" s="301" t="n"/>
      <c r="I89" s="301" t="n"/>
      <c r="J89" s="301" t="n"/>
      <c r="K89" s="301" t="n"/>
      <c r="L89" s="301" t="n"/>
    </row>
    <row r="90" ht="15" customHeight="1" s="221">
      <c r="A90" s="354" t="n"/>
      <c r="B90" s="354" t="n"/>
      <c r="C90" s="359" t="n"/>
      <c r="D90" s="360" t="n"/>
      <c r="E90" s="301" t="n"/>
      <c r="F90" s="301" t="n"/>
      <c r="G90" s="301" t="n"/>
      <c r="H90" s="301" t="n"/>
      <c r="I90" s="301" t="n"/>
      <c r="J90" s="301" t="n"/>
      <c r="K90" s="301" t="n"/>
      <c r="L90" s="301" t="n"/>
    </row>
    <row r="91" ht="15" customHeight="1" s="221">
      <c r="A91" s="301" t="n"/>
      <c r="B91" s="301" t="n"/>
      <c r="C91" s="328" t="n"/>
      <c r="D91" s="301" t="n"/>
      <c r="E91" s="301" t="n"/>
      <c r="F91" s="301" t="n"/>
      <c r="G91" s="301" t="n"/>
      <c r="H91" s="301" t="n"/>
      <c r="I91" s="301" t="n"/>
      <c r="J91" s="301" t="n"/>
      <c r="K91" s="301" t="n"/>
      <c r="L91" s="301" t="n"/>
    </row>
    <row r="92" ht="15" customHeight="1" s="221">
      <c r="A92" s="301" t="n"/>
      <c r="B92" s="301" t="n"/>
      <c r="C92" s="301" t="n"/>
      <c r="D92" s="301" t="n"/>
      <c r="E92" s="301" t="n"/>
      <c r="F92" s="301" t="n"/>
      <c r="G92" s="301" t="n"/>
      <c r="H92" s="301" t="n"/>
      <c r="I92" s="301" t="n"/>
      <c r="J92" s="301" t="n"/>
      <c r="K92" s="301" t="n"/>
      <c r="L92" s="301" t="n"/>
    </row>
    <row r="93" ht="15" customHeight="1" s="221">
      <c r="A93" s="354" t="n"/>
      <c r="B93" s="354" t="n"/>
      <c r="C93" s="359" t="n"/>
      <c r="D93" s="360" t="n"/>
      <c r="E93" s="301" t="n"/>
      <c r="F93" s="301" t="n"/>
      <c r="G93" s="301" t="n"/>
      <c r="H93" s="301" t="n"/>
      <c r="I93" s="301" t="n"/>
      <c r="J93" s="301" t="n"/>
      <c r="K93" s="301" t="n"/>
      <c r="L93" s="301" t="n"/>
    </row>
    <row r="94" ht="15" customHeight="1" s="221">
      <c r="A94" s="354" t="n"/>
      <c r="B94" s="354" t="n"/>
      <c r="C94" s="359" t="n"/>
      <c r="D94" s="360" t="n"/>
      <c r="E94" s="301" t="n"/>
      <c r="F94" s="301" t="n"/>
      <c r="G94" s="301" t="n"/>
      <c r="H94" s="301" t="n"/>
      <c r="I94" s="301" t="n"/>
      <c r="J94" s="301" t="n"/>
      <c r="K94" s="301" t="n"/>
      <c r="L94" s="301" t="n"/>
    </row>
    <row r="95" ht="15" customHeight="1" s="221">
      <c r="A95" s="354" t="n"/>
      <c r="B95" s="354" t="n"/>
      <c r="C95" s="359" t="n"/>
      <c r="D95" s="360" t="n"/>
      <c r="E95" s="301" t="n"/>
      <c r="F95" s="301" t="n"/>
      <c r="G95" s="301" t="n"/>
      <c r="H95" s="301" t="n"/>
      <c r="I95" s="301" t="n"/>
      <c r="J95" s="301" t="n"/>
      <c r="K95" s="301" t="n"/>
      <c r="L95" s="301" t="n"/>
    </row>
    <row r="96" ht="15" customHeight="1" s="221">
      <c r="A96" s="354" t="n"/>
      <c r="B96" s="354" t="n"/>
      <c r="C96" s="359" t="n"/>
      <c r="D96" s="360" t="n"/>
      <c r="E96" s="301" t="n"/>
      <c r="F96" s="301" t="n"/>
      <c r="G96" s="301" t="n"/>
      <c r="H96" s="301" t="n"/>
      <c r="I96" s="301" t="n"/>
      <c r="J96" s="301" t="n"/>
      <c r="K96" s="301" t="n"/>
      <c r="L96" s="301" t="n"/>
    </row>
    <row r="97" ht="15" customHeight="1" s="221">
      <c r="A97" s="354" t="n"/>
      <c r="B97" s="354" t="n"/>
      <c r="C97" s="359" t="n"/>
      <c r="D97" s="360" t="n"/>
      <c r="E97" s="301" t="n"/>
      <c r="F97" s="301" t="n"/>
      <c r="G97" s="301" t="n"/>
      <c r="H97" s="301" t="n"/>
      <c r="I97" s="301" t="n"/>
      <c r="J97" s="301" t="n"/>
      <c r="K97" s="301" t="n"/>
      <c r="L97" s="301" t="n"/>
    </row>
    <row r="98" ht="15" customHeight="1" s="221">
      <c r="A98" s="354" t="n"/>
      <c r="B98" s="354" t="n"/>
      <c r="C98" s="359" t="n"/>
      <c r="D98" s="360" t="n"/>
      <c r="E98" s="301" t="n"/>
      <c r="F98" s="301" t="n"/>
      <c r="G98" s="301" t="n"/>
      <c r="H98" s="301" t="n"/>
      <c r="I98" s="301" t="n"/>
      <c r="J98" s="301" t="n"/>
      <c r="K98" s="301" t="n"/>
      <c r="L98" s="301" t="n"/>
    </row>
    <row r="99" ht="15" customHeight="1" s="221">
      <c r="A99" s="301" t="n"/>
      <c r="B99" s="301" t="n"/>
      <c r="C99" s="328" t="n"/>
      <c r="D99" s="301" t="n"/>
      <c r="E99" s="301" t="n"/>
      <c r="F99" s="301" t="n"/>
      <c r="G99" s="301" t="n"/>
      <c r="H99" s="301" t="n"/>
      <c r="I99" s="301" t="n"/>
      <c r="J99" s="301" t="n"/>
      <c r="K99" s="301" t="n"/>
      <c r="L99" s="301" t="n"/>
    </row>
    <row r="100" ht="15" customHeight="1" s="221">
      <c r="A100" s="301" t="n"/>
      <c r="B100" s="301" t="n"/>
      <c r="C100" s="301" t="n"/>
      <c r="D100" s="301" t="n"/>
      <c r="E100" s="301" t="n"/>
      <c r="F100" s="301" t="n"/>
      <c r="G100" s="301" t="n"/>
      <c r="H100" s="301" t="n"/>
      <c r="I100" s="301" t="n"/>
      <c r="J100" s="301" t="n"/>
      <c r="K100" s="301" t="n"/>
      <c r="L100" s="301" t="n"/>
    </row>
    <row r="101" ht="15" customHeight="1" s="221">
      <c r="A101" s="354" t="n"/>
      <c r="B101" s="354" t="n"/>
      <c r="C101" s="359" t="n"/>
      <c r="D101" s="360" t="n"/>
      <c r="E101" s="301" t="n"/>
      <c r="F101" s="301" t="n"/>
      <c r="G101" s="301" t="n"/>
      <c r="H101" s="301" t="n"/>
      <c r="I101" s="301" t="n"/>
      <c r="J101" s="301" t="n"/>
      <c r="K101" s="301" t="n"/>
      <c r="L101" s="301" t="n"/>
    </row>
    <row r="102" ht="15" customHeight="1" s="221">
      <c r="A102" s="354" t="n"/>
      <c r="B102" s="354" t="n"/>
      <c r="C102" s="359" t="n"/>
      <c r="D102" s="360" t="n"/>
      <c r="E102" s="301" t="n"/>
      <c r="F102" s="301" t="n"/>
      <c r="G102" s="301" t="n"/>
      <c r="H102" s="301" t="n"/>
      <c r="I102" s="301" t="n"/>
      <c r="J102" s="301" t="n"/>
      <c r="K102" s="301" t="n"/>
      <c r="L102" s="301" t="n"/>
    </row>
    <row r="103" ht="15" customHeight="1" s="221">
      <c r="A103" s="354" t="n"/>
      <c r="B103" s="354" t="n"/>
      <c r="C103" s="359" t="n"/>
      <c r="D103" s="360" t="n"/>
      <c r="E103" s="301" t="n"/>
      <c r="F103" s="301" t="n"/>
      <c r="G103" s="301" t="n"/>
      <c r="H103" s="301" t="n"/>
      <c r="I103" s="301" t="n"/>
      <c r="J103" s="301" t="n"/>
      <c r="K103" s="301" t="n"/>
      <c r="L103" s="301" t="n"/>
    </row>
    <row r="104" ht="15" customHeight="1" s="221">
      <c r="A104" s="354" t="n"/>
      <c r="B104" s="354" t="n"/>
      <c r="C104" s="359" t="n"/>
      <c r="D104" s="360" t="n"/>
      <c r="E104" s="301" t="n"/>
      <c r="F104" s="301" t="n"/>
      <c r="G104" s="301" t="n"/>
      <c r="H104" s="301" t="n"/>
      <c r="I104" s="301" t="n"/>
      <c r="J104" s="301" t="n"/>
      <c r="K104" s="301" t="n"/>
      <c r="L104" s="301" t="n"/>
    </row>
    <row r="105" ht="15" customHeight="1" s="221">
      <c r="A105" s="354" t="n"/>
      <c r="B105" s="354" t="n"/>
      <c r="C105" s="359" t="n"/>
      <c r="D105" s="360" t="n"/>
      <c r="E105" s="301" t="n"/>
      <c r="F105" s="301" t="n"/>
      <c r="G105" s="301" t="n"/>
      <c r="H105" s="301" t="n"/>
      <c r="I105" s="301" t="n"/>
      <c r="J105" s="301" t="n"/>
      <c r="K105" s="301" t="n"/>
      <c r="L105" s="301" t="n"/>
    </row>
    <row r="106" ht="15" customHeight="1" s="221">
      <c r="A106" s="301" t="n"/>
      <c r="B106" s="301" t="n"/>
      <c r="C106" s="328" t="n"/>
      <c r="D106" s="301" t="n"/>
      <c r="E106" s="301" t="n"/>
      <c r="F106" s="301" t="n"/>
      <c r="G106" s="301" t="n"/>
      <c r="H106" s="301" t="n"/>
      <c r="I106" s="301" t="n"/>
      <c r="J106" s="301" t="n"/>
      <c r="K106" s="301" t="n"/>
      <c r="L106" s="301" t="n"/>
    </row>
    <row r="107" ht="15" customHeight="1" s="221">
      <c r="A107" s="301" t="n"/>
      <c r="B107" s="301" t="n"/>
      <c r="C107" s="301" t="n"/>
      <c r="D107" s="301" t="n"/>
      <c r="E107" s="301" t="n"/>
      <c r="F107" s="301" t="n"/>
      <c r="G107" s="301" t="n"/>
      <c r="H107" s="301" t="n"/>
      <c r="I107" s="301" t="n"/>
      <c r="J107" s="301" t="n"/>
      <c r="K107" s="301" t="n"/>
      <c r="L107" s="301" t="n"/>
    </row>
    <row r="108" ht="15" customHeight="1" s="221">
      <c r="A108" s="354" t="n"/>
      <c r="B108" s="354" t="n"/>
      <c r="C108" s="359" t="n"/>
      <c r="D108" s="360" t="n"/>
      <c r="E108" s="301" t="n"/>
      <c r="F108" s="301" t="n"/>
      <c r="G108" s="301" t="n"/>
      <c r="H108" s="301" t="n"/>
      <c r="I108" s="301" t="n"/>
      <c r="J108" s="301" t="n"/>
      <c r="K108" s="301" t="n"/>
      <c r="L108" s="301" t="n"/>
    </row>
    <row r="109" ht="15" customHeight="1" s="221">
      <c r="A109" s="354" t="n"/>
      <c r="B109" s="354" t="n"/>
      <c r="C109" s="359" t="n"/>
      <c r="D109" s="360" t="n"/>
      <c r="E109" s="301" t="n"/>
      <c r="F109" s="301" t="n"/>
      <c r="G109" s="301" t="n"/>
      <c r="H109" s="301" t="n"/>
      <c r="I109" s="301" t="n"/>
      <c r="J109" s="301" t="n"/>
      <c r="K109" s="301" t="n"/>
      <c r="L109" s="301" t="n"/>
    </row>
    <row r="110" ht="15" customHeight="1" s="221">
      <c r="A110" s="301" t="n"/>
      <c r="B110" s="301" t="n"/>
      <c r="C110" s="328" t="n"/>
      <c r="D110" s="301" t="n"/>
      <c r="E110" s="301" t="n"/>
      <c r="F110" s="301" t="n"/>
      <c r="G110" s="301" t="n"/>
      <c r="H110" s="301" t="n"/>
      <c r="I110" s="301" t="n"/>
      <c r="J110" s="301" t="n"/>
      <c r="K110" s="301" t="n"/>
      <c r="L110" s="301" t="n"/>
    </row>
    <row r="111" ht="15" customHeight="1" s="221">
      <c r="A111" s="301" t="n"/>
      <c r="B111" s="301" t="n"/>
      <c r="C111" s="301" t="n"/>
      <c r="D111" s="301" t="n"/>
      <c r="E111" s="301" t="n"/>
      <c r="F111" s="301" t="n"/>
      <c r="G111" s="301" t="n"/>
      <c r="H111" s="301" t="n"/>
      <c r="I111" s="301" t="n"/>
      <c r="J111" s="301" t="n"/>
      <c r="K111" s="301" t="n"/>
      <c r="L111" s="301" t="n"/>
    </row>
    <row r="112" ht="15" customHeight="1" s="221">
      <c r="A112" s="354" t="n"/>
      <c r="B112" s="354" t="n"/>
      <c r="C112" s="359" t="n"/>
      <c r="D112" s="360" t="n"/>
      <c r="E112" s="301" t="n"/>
      <c r="F112" s="301" t="n"/>
      <c r="G112" s="301" t="n"/>
      <c r="H112" s="301" t="n"/>
      <c r="I112" s="301" t="n"/>
      <c r="J112" s="301" t="n"/>
      <c r="K112" s="301" t="n"/>
      <c r="L112" s="301" t="n"/>
    </row>
    <row r="113" ht="15" customHeight="1" s="221">
      <c r="A113" s="354" t="n"/>
      <c r="B113" s="354" t="n"/>
      <c r="C113" s="359" t="n"/>
      <c r="D113" s="360" t="n"/>
      <c r="E113" s="301" t="n"/>
      <c r="F113" s="301" t="n"/>
      <c r="G113" s="301" t="n"/>
      <c r="H113" s="301" t="n"/>
      <c r="I113" s="301" t="n"/>
      <c r="J113" s="301" t="n"/>
      <c r="K113" s="301" t="n"/>
      <c r="L113" s="301" t="n"/>
    </row>
    <row r="114" ht="15" customHeight="1" s="221">
      <c r="A114" s="354" t="n"/>
      <c r="B114" s="354" t="n"/>
      <c r="C114" s="359" t="n"/>
      <c r="D114" s="360" t="n"/>
      <c r="E114" s="301" t="n"/>
      <c r="F114" s="301" t="n"/>
      <c r="G114" s="301" t="n"/>
      <c r="H114" s="301" t="n"/>
      <c r="I114" s="301" t="n"/>
      <c r="J114" s="301" t="n"/>
      <c r="K114" s="301" t="n"/>
      <c r="L114" s="301" t="n"/>
    </row>
    <row r="115" ht="15" customHeight="1" s="221">
      <c r="A115" s="354" t="n"/>
      <c r="B115" s="354" t="n"/>
      <c r="C115" s="359" t="n"/>
      <c r="D115" s="360" t="n"/>
      <c r="E115" s="301" t="n"/>
      <c r="F115" s="301" t="n"/>
      <c r="G115" s="301" t="n"/>
      <c r="H115" s="301" t="n"/>
      <c r="I115" s="301" t="n"/>
      <c r="J115" s="301" t="n"/>
      <c r="K115" s="301" t="n"/>
      <c r="L115" s="301" t="n"/>
    </row>
    <row r="116" ht="15" customHeight="1" s="221">
      <c r="A116" s="354" t="n"/>
      <c r="B116" s="354" t="n"/>
      <c r="C116" s="359" t="n"/>
      <c r="D116" s="360" t="n"/>
      <c r="E116" s="301" t="n"/>
      <c r="F116" s="301" t="n"/>
      <c r="G116" s="301" t="n"/>
      <c r="H116" s="301" t="n"/>
      <c r="I116" s="301" t="n"/>
      <c r="J116" s="301" t="n"/>
      <c r="K116" s="301" t="n"/>
      <c r="L116" s="301" t="n"/>
    </row>
    <row r="117" ht="15" customHeight="1" s="221">
      <c r="A117" s="354" t="n"/>
      <c r="B117" s="354" t="n"/>
      <c r="C117" s="359" t="n"/>
      <c r="D117" s="360" t="n"/>
      <c r="E117" s="301" t="n"/>
      <c r="F117" s="301" t="n"/>
      <c r="G117" s="301" t="n"/>
      <c r="H117" s="301" t="n"/>
      <c r="I117" s="301" t="n"/>
      <c r="J117" s="301" t="n"/>
      <c r="K117" s="301" t="n"/>
      <c r="L117" s="301" t="n"/>
    </row>
    <row r="118" ht="15" customHeight="1" s="221">
      <c r="A118" s="354" t="n"/>
      <c r="B118" s="354" t="n"/>
      <c r="C118" s="359" t="n"/>
      <c r="D118" s="360" t="n"/>
      <c r="E118" s="301" t="n"/>
      <c r="F118" s="301" t="n"/>
      <c r="G118" s="301" t="n"/>
      <c r="H118" s="301" t="n"/>
      <c r="I118" s="301" t="n"/>
      <c r="J118" s="301" t="n"/>
      <c r="K118" s="301" t="n"/>
      <c r="L118" s="301" t="n"/>
    </row>
    <row r="119" ht="15" customHeight="1" s="221">
      <c r="A119" s="354" t="n"/>
      <c r="B119" s="354" t="n"/>
      <c r="C119" s="359" t="n"/>
      <c r="D119" s="360" t="n"/>
      <c r="E119" s="301" t="n"/>
      <c r="F119" s="301" t="n"/>
      <c r="G119" s="301" t="n"/>
      <c r="H119" s="301" t="n"/>
      <c r="I119" s="301" t="n"/>
      <c r="J119" s="301" t="n"/>
      <c r="K119" s="301" t="n"/>
      <c r="L119" s="301" t="n"/>
    </row>
    <row r="120" ht="15" customHeight="1" s="221">
      <c r="A120" s="354" t="n"/>
      <c r="B120" s="354" t="n"/>
      <c r="C120" s="359" t="n"/>
      <c r="D120" s="360" t="n"/>
      <c r="E120" s="301" t="n"/>
      <c r="F120" s="301" t="n"/>
      <c r="G120" s="301" t="n"/>
      <c r="H120" s="301" t="n"/>
      <c r="I120" s="301" t="n"/>
      <c r="J120" s="301" t="n"/>
      <c r="K120" s="301" t="n"/>
      <c r="L120" s="301" t="n"/>
    </row>
    <row r="121" ht="15" customHeight="1" s="221">
      <c r="A121" s="301" t="n"/>
      <c r="B121" s="301" t="n"/>
      <c r="C121" s="328" t="n"/>
      <c r="D121" s="301" t="n"/>
      <c r="E121" s="301" t="n"/>
      <c r="F121" s="301" t="n"/>
      <c r="G121" s="301" t="n"/>
      <c r="H121" s="301" t="n"/>
      <c r="I121" s="301" t="n"/>
      <c r="J121" s="301" t="n"/>
      <c r="K121" s="301" t="n"/>
      <c r="L121" s="301" t="n"/>
    </row>
    <row r="122" ht="15.75" customHeight="1" s="221">
      <c r="A122" s="301" t="n"/>
      <c r="B122" s="301" t="n"/>
      <c r="C122" s="328" t="n"/>
      <c r="D122" s="301" t="n"/>
      <c r="E122" s="301" t="n"/>
      <c r="F122" s="301" t="n"/>
      <c r="G122" s="301" t="n"/>
      <c r="H122" s="301" t="n"/>
      <c r="I122" s="301" t="n"/>
      <c r="J122" s="301" t="n"/>
      <c r="K122" s="301" t="n"/>
      <c r="L122" s="301" t="n"/>
    </row>
    <row r="123" ht="15.75" customHeight="1" s="221">
      <c r="A123" s="301" t="n"/>
      <c r="B123" s="301" t="n"/>
      <c r="C123" s="328" t="n"/>
      <c r="D123" s="301" t="n"/>
      <c r="E123" s="301" t="n"/>
      <c r="F123" s="301" t="n"/>
      <c r="G123" s="301" t="n"/>
      <c r="H123" s="301" t="n"/>
      <c r="I123" s="301" t="n"/>
      <c r="J123" s="301" t="n"/>
      <c r="K123" s="301" t="n"/>
      <c r="L123" s="301" t="n"/>
    </row>
    <row r="124" ht="15" customHeight="1" s="221">
      <c r="A124" s="301" t="n"/>
      <c r="B124" s="301" t="n"/>
      <c r="C124" s="301" t="n"/>
      <c r="D124" s="301" t="n"/>
      <c r="E124" s="301" t="n"/>
      <c r="F124" s="301" t="n"/>
      <c r="G124" s="301" t="n"/>
      <c r="H124" s="301" t="n"/>
      <c r="I124" s="301" t="n"/>
      <c r="J124" s="301" t="n"/>
      <c r="K124" s="301" t="n"/>
      <c r="L124" s="301" t="n"/>
    </row>
    <row r="125" ht="15" customHeight="1" s="221">
      <c r="A125" s="301" t="n"/>
      <c r="B125" s="301" t="n"/>
      <c r="C125" s="301" t="n"/>
      <c r="D125" s="301" t="n"/>
      <c r="E125" s="301" t="n"/>
      <c r="F125" s="301" t="n"/>
      <c r="G125" s="301" t="n"/>
      <c r="H125" s="301" t="n"/>
      <c r="I125" s="301" t="n"/>
      <c r="J125" s="301" t="n"/>
      <c r="K125" s="301" t="n"/>
      <c r="L125" s="301" t="n"/>
    </row>
    <row r="126" ht="15" customHeight="1" s="221">
      <c r="A126" s="301" t="n"/>
      <c r="B126" s="301" t="n"/>
      <c r="C126" s="301" t="n"/>
      <c r="D126" s="301" t="n"/>
      <c r="E126" s="301" t="n"/>
      <c r="F126" s="301" t="n"/>
      <c r="G126" s="301" t="n"/>
      <c r="H126" s="301" t="n"/>
      <c r="I126" s="301" t="n"/>
      <c r="J126" s="301" t="n"/>
      <c r="K126" s="301" t="n"/>
      <c r="L126" s="301" t="n"/>
    </row>
    <row r="127" ht="15" customHeight="1" s="221">
      <c r="A127" s="301" t="n"/>
      <c r="B127" s="301" t="n"/>
      <c r="C127" s="301" t="n"/>
      <c r="D127" s="301" t="n"/>
      <c r="E127" s="301" t="n"/>
      <c r="F127" s="301" t="n"/>
      <c r="G127" s="301" t="n"/>
      <c r="H127" s="301" t="n"/>
      <c r="I127" s="301" t="n"/>
      <c r="J127" s="301" t="n"/>
      <c r="K127" s="301" t="n"/>
      <c r="L127" s="301" t="n"/>
    </row>
    <row r="128" ht="15" customHeight="1" s="221">
      <c r="A128" s="301" t="n"/>
      <c r="B128" s="301" t="n"/>
      <c r="C128" s="301" t="n"/>
      <c r="D128" s="301" t="n"/>
      <c r="E128" s="301" t="n"/>
      <c r="F128" s="301" t="n"/>
      <c r="G128" s="301" t="n"/>
      <c r="H128" s="301" t="n"/>
      <c r="I128" s="301" t="n"/>
      <c r="J128" s="301" t="n"/>
      <c r="K128" s="301" t="n"/>
      <c r="L128" s="301" t="n"/>
    </row>
    <row r="129" ht="15" customHeight="1" s="221">
      <c r="A129" s="301" t="n"/>
      <c r="B129" s="301" t="n"/>
      <c r="C129" s="301" t="n"/>
      <c r="D129" s="301" t="n"/>
      <c r="E129" s="301" t="n"/>
      <c r="F129" s="301" t="n"/>
      <c r="G129" s="301" t="n"/>
      <c r="H129" s="301" t="n"/>
      <c r="I129" s="301" t="n"/>
      <c r="J129" s="301" t="n"/>
      <c r="K129" s="301" t="n"/>
      <c r="L129" s="301" t="n"/>
    </row>
    <row r="130" ht="15" customHeight="1" s="221">
      <c r="A130" s="301" t="n"/>
      <c r="B130" s="301" t="n"/>
      <c r="C130" s="301" t="n"/>
      <c r="D130" s="301" t="n"/>
      <c r="E130" s="301" t="n"/>
      <c r="F130" s="301" t="n"/>
      <c r="G130" s="301" t="n"/>
      <c r="H130" s="301" t="n"/>
      <c r="I130" s="301" t="n"/>
      <c r="J130" s="301" t="n"/>
      <c r="K130" s="301" t="n"/>
      <c r="L130" s="301" t="n"/>
    </row>
    <row r="131" ht="15" customHeight="1" s="221">
      <c r="A131" s="301" t="n"/>
      <c r="B131" s="301" t="n"/>
      <c r="C131" s="301" t="n"/>
      <c r="D131" s="301" t="n"/>
      <c r="E131" s="301" t="n"/>
      <c r="F131" s="301" t="n"/>
      <c r="G131" s="301" t="n"/>
      <c r="H131" s="301" t="n"/>
      <c r="I131" s="301" t="n"/>
      <c r="J131" s="301" t="n"/>
      <c r="K131" s="301" t="n"/>
      <c r="L131" s="301" t="n"/>
    </row>
    <row r="132" ht="15" customHeight="1" s="221">
      <c r="A132" s="301" t="n"/>
      <c r="B132" s="301" t="n"/>
      <c r="C132" s="301" t="n"/>
      <c r="D132" s="301" t="n"/>
      <c r="E132" s="301" t="n"/>
      <c r="F132" s="301" t="n"/>
      <c r="G132" s="301" t="n"/>
      <c r="H132" s="301" t="n"/>
      <c r="I132" s="301" t="n"/>
      <c r="J132" s="301" t="n"/>
      <c r="K132" s="301" t="n"/>
      <c r="L132" s="301" t="n"/>
    </row>
    <row r="133" ht="15" customHeight="1" s="221">
      <c r="A133" s="301" t="n"/>
      <c r="B133" s="301" t="n"/>
      <c r="C133" s="301" t="n"/>
      <c r="D133" s="301" t="n"/>
      <c r="E133" s="301" t="n"/>
      <c r="F133" s="301" t="n"/>
      <c r="G133" s="301" t="n"/>
      <c r="H133" s="301" t="n"/>
      <c r="I133" s="301" t="n"/>
      <c r="J133" s="301" t="n"/>
      <c r="K133" s="301" t="n"/>
      <c r="L133" s="301" t="n"/>
    </row>
    <row r="134" ht="15" customHeight="1" s="221">
      <c r="A134" s="301" t="n"/>
      <c r="B134" s="301" t="n"/>
      <c r="C134" s="301" t="n"/>
      <c r="D134" s="301" t="n"/>
      <c r="E134" s="301" t="n"/>
      <c r="F134" s="301" t="n"/>
      <c r="G134" s="301" t="n"/>
      <c r="H134" s="301" t="n"/>
      <c r="I134" s="301" t="n"/>
      <c r="J134" s="301" t="n"/>
      <c r="K134" s="301" t="n"/>
      <c r="L134" s="301" t="n"/>
    </row>
    <row r="135" ht="15" customHeight="1" s="221">
      <c r="A135" s="301" t="n"/>
      <c r="B135" s="301" t="n"/>
      <c r="C135" s="301" t="n"/>
      <c r="D135" s="301" t="n"/>
      <c r="E135" s="301" t="n"/>
      <c r="F135" s="301" t="n"/>
      <c r="G135" s="301" t="n"/>
      <c r="H135" s="301" t="n"/>
      <c r="I135" s="301" t="n"/>
      <c r="J135" s="301" t="n"/>
      <c r="K135" s="301" t="n"/>
      <c r="L135" s="301" t="n"/>
    </row>
    <row r="136" ht="15" customHeight="1" s="221">
      <c r="A136" s="301" t="n"/>
      <c r="B136" s="301" t="n"/>
      <c r="C136" s="301" t="n"/>
      <c r="D136" s="301" t="n"/>
      <c r="E136" s="301" t="n"/>
      <c r="F136" s="301" t="n"/>
      <c r="G136" s="301" t="n"/>
      <c r="H136" s="301" t="n"/>
      <c r="I136" s="301" t="n"/>
      <c r="J136" s="301" t="n"/>
      <c r="K136" s="301" t="n"/>
      <c r="L136" s="301" t="n"/>
    </row>
    <row r="137" ht="15" customHeight="1" s="221">
      <c r="A137" s="301" t="n"/>
      <c r="B137" s="301" t="n"/>
      <c r="C137" s="301" t="n"/>
      <c r="D137" s="301" t="n"/>
      <c r="E137" s="301" t="n"/>
      <c r="F137" s="301" t="n"/>
      <c r="G137" s="301" t="n"/>
      <c r="H137" s="301" t="n"/>
      <c r="I137" s="301" t="n"/>
      <c r="J137" s="301" t="n"/>
      <c r="K137" s="301" t="n"/>
      <c r="L137" s="301" t="n"/>
    </row>
    <row r="138" ht="15" customHeight="1" s="221">
      <c r="A138" s="301" t="n"/>
      <c r="B138" s="301" t="n"/>
      <c r="C138" s="301" t="n"/>
      <c r="D138" s="301" t="n"/>
      <c r="E138" s="301" t="n"/>
      <c r="F138" s="301" t="n"/>
      <c r="G138" s="301" t="n"/>
      <c r="H138" s="301" t="n"/>
      <c r="I138" s="301" t="n"/>
      <c r="J138" s="301" t="n"/>
      <c r="K138" s="301" t="n"/>
      <c r="L138" s="301" t="n"/>
    </row>
    <row r="139" ht="15" customHeight="1" s="221">
      <c r="A139" s="301" t="n"/>
      <c r="B139" s="301" t="n"/>
      <c r="C139" s="301" t="n"/>
      <c r="D139" s="301" t="n"/>
      <c r="E139" s="301" t="n"/>
      <c r="F139" s="301" t="n"/>
      <c r="G139" s="301" t="n"/>
      <c r="H139" s="301" t="n"/>
      <c r="I139" s="301" t="n"/>
      <c r="J139" s="301" t="n"/>
      <c r="K139" s="301" t="n"/>
      <c r="L139" s="301" t="n"/>
    </row>
    <row r="140" ht="15" customHeight="1" s="221">
      <c r="A140" s="301" t="n"/>
      <c r="B140" s="301" t="n"/>
      <c r="C140" s="301" t="n"/>
      <c r="D140" s="301" t="n"/>
      <c r="E140" s="301" t="n"/>
      <c r="F140" s="301" t="n"/>
      <c r="G140" s="301" t="n"/>
      <c r="H140" s="301" t="n"/>
      <c r="I140" s="301" t="n"/>
      <c r="J140" s="301" t="n"/>
      <c r="K140" s="301" t="n"/>
      <c r="L140" s="301" t="n"/>
    </row>
    <row r="141" ht="15" customHeight="1" s="221">
      <c r="A141" s="301" t="n"/>
      <c r="B141" s="301" t="n"/>
      <c r="C141" s="301" t="n"/>
      <c r="D141" s="301" t="n"/>
      <c r="E141" s="301" t="n"/>
      <c r="F141" s="301" t="n"/>
      <c r="G141" s="301" t="n"/>
      <c r="H141" s="301" t="n"/>
      <c r="I141" s="301" t="n"/>
      <c r="J141" s="301" t="n"/>
      <c r="K141" s="301" t="n"/>
      <c r="L141" s="301" t="n"/>
    </row>
    <row r="142" ht="15" customHeight="1" s="221">
      <c r="A142" s="301" t="n"/>
      <c r="B142" s="301" t="n"/>
      <c r="C142" s="301" t="n"/>
      <c r="D142" s="301" t="n"/>
      <c r="E142" s="301" t="n"/>
      <c r="F142" s="301" t="n"/>
      <c r="G142" s="301" t="n"/>
      <c r="H142" s="301" t="n"/>
      <c r="I142" s="301" t="n"/>
      <c r="J142" s="301" t="n"/>
      <c r="K142" s="301" t="n"/>
      <c r="L142" s="301" t="n"/>
    </row>
    <row r="143" ht="15" customHeight="1" s="221">
      <c r="A143" s="301" t="n"/>
      <c r="B143" s="301" t="n"/>
      <c r="C143" s="301" t="n"/>
      <c r="D143" s="301" t="n"/>
      <c r="E143" s="301" t="n"/>
      <c r="F143" s="301" t="n"/>
      <c r="G143" s="301" t="n"/>
      <c r="H143" s="301" t="n"/>
      <c r="I143" s="301" t="n"/>
      <c r="J143" s="301" t="n"/>
      <c r="K143" s="301" t="n"/>
      <c r="L143" s="301" t="n"/>
    </row>
    <row r="144" ht="15" customHeight="1" s="221">
      <c r="A144" s="301" t="n"/>
      <c r="B144" s="301" t="n"/>
      <c r="C144" s="301" t="n"/>
      <c r="D144" s="301" t="n"/>
      <c r="E144" s="301" t="n"/>
      <c r="F144" s="301" t="n"/>
      <c r="G144" s="301" t="n"/>
      <c r="H144" s="301" t="n"/>
      <c r="I144" s="301" t="n"/>
      <c r="J144" s="301" t="n"/>
      <c r="K144" s="301" t="n"/>
      <c r="L144" s="301" t="n"/>
    </row>
    <row r="145" ht="15" customHeight="1" s="221">
      <c r="A145" s="301" t="n"/>
      <c r="B145" s="301" t="n"/>
      <c r="C145" s="301" t="n"/>
      <c r="D145" s="301" t="n"/>
      <c r="E145" s="301" t="n"/>
      <c r="F145" s="301" t="n"/>
      <c r="G145" s="301" t="n"/>
      <c r="H145" s="301" t="n"/>
      <c r="I145" s="301" t="n"/>
      <c r="J145" s="301" t="n"/>
      <c r="K145" s="301" t="n"/>
      <c r="L145" s="301" t="n"/>
    </row>
    <row r="146" ht="15" customHeight="1" s="221">
      <c r="A146" s="301" t="n"/>
      <c r="B146" s="301" t="n"/>
      <c r="C146" s="301" t="n"/>
      <c r="D146" s="301" t="n"/>
      <c r="E146" s="301" t="n"/>
      <c r="F146" s="301" t="n"/>
      <c r="G146" s="301" t="n"/>
      <c r="H146" s="301" t="n"/>
      <c r="I146" s="301" t="n"/>
      <c r="J146" s="301" t="n"/>
      <c r="K146" s="301" t="n"/>
      <c r="L146" s="301" t="n"/>
    </row>
    <row r="147" ht="15" customHeight="1" s="221">
      <c r="A147" s="301" t="n"/>
      <c r="B147" s="301" t="n"/>
      <c r="C147" s="301" t="n"/>
      <c r="D147" s="301" t="n"/>
      <c r="E147" s="301" t="n"/>
      <c r="F147" s="301" t="n"/>
      <c r="G147" s="301" t="n"/>
      <c r="H147" s="301" t="n"/>
      <c r="I147" s="301" t="n"/>
      <c r="J147" s="301" t="n"/>
      <c r="K147" s="301" t="n"/>
      <c r="L147" s="301" t="n"/>
    </row>
    <row r="148" ht="15" customHeight="1" s="221">
      <c r="A148" s="301" t="n"/>
      <c r="B148" s="301" t="n"/>
      <c r="C148" s="301" t="n"/>
      <c r="D148" s="301" t="n"/>
      <c r="E148" s="301" t="n"/>
      <c r="F148" s="301" t="n"/>
      <c r="G148" s="301" t="n"/>
      <c r="H148" s="301" t="n"/>
      <c r="I148" s="301" t="n"/>
      <c r="J148" s="301" t="n"/>
      <c r="K148" s="301" t="n"/>
      <c r="L148" s="301" t="n"/>
    </row>
    <row r="149" ht="15" customHeight="1" s="221">
      <c r="A149" s="301" t="n"/>
      <c r="B149" s="301" t="n"/>
      <c r="C149" s="301" t="n"/>
      <c r="D149" s="301" t="n"/>
      <c r="E149" s="301" t="n"/>
      <c r="F149" s="301" t="n"/>
      <c r="G149" s="301" t="n"/>
      <c r="H149" s="301" t="n"/>
      <c r="I149" s="301" t="n"/>
      <c r="J149" s="301" t="n"/>
      <c r="K149" s="301" t="n"/>
      <c r="L149" s="301" t="n"/>
    </row>
    <row r="150" ht="15" customHeight="1" s="221">
      <c r="A150" s="301" t="n"/>
      <c r="B150" s="301" t="n"/>
      <c r="C150" s="301" t="n"/>
      <c r="D150" s="301" t="n"/>
      <c r="E150" s="301" t="n"/>
      <c r="F150" s="301" t="n"/>
      <c r="G150" s="301" t="n"/>
      <c r="H150" s="301" t="n"/>
      <c r="I150" s="301" t="n"/>
      <c r="J150" s="301" t="n"/>
      <c r="K150" s="301" t="n"/>
      <c r="L150" s="301" t="n"/>
    </row>
  </sheetData>
  <mergeCells count="35">
    <mergeCell ref="G10:I10"/>
    <mergeCell ref="A8:D8"/>
    <mergeCell ref="A73:B73"/>
    <mergeCell ref="A62:D62"/>
    <mergeCell ref="G47:J47"/>
    <mergeCell ref="G54:J54"/>
    <mergeCell ref="A28:D28"/>
    <mergeCell ref="A26:C26"/>
    <mergeCell ref="G40:J40"/>
    <mergeCell ref="J77:K77"/>
    <mergeCell ref="A30:D30"/>
    <mergeCell ref="A51:D51"/>
    <mergeCell ref="A20:C20"/>
    <mergeCell ref="A3:B3"/>
    <mergeCell ref="G3:H3"/>
    <mergeCell ref="G67:J67"/>
    <mergeCell ref="A1:J1"/>
    <mergeCell ref="G8:J8"/>
    <mergeCell ref="G9:I9"/>
    <mergeCell ref="G65:H65"/>
    <mergeCell ref="D4:E4"/>
    <mergeCell ref="A41:D41"/>
    <mergeCell ref="G12:I12"/>
    <mergeCell ref="A17:B17"/>
    <mergeCell ref="D3:E3"/>
    <mergeCell ref="G64:H64"/>
    <mergeCell ref="G28:J28"/>
    <mergeCell ref="A4:B4"/>
    <mergeCell ref="G4:H4"/>
    <mergeCell ref="A72:B72"/>
    <mergeCell ref="A6:C6"/>
    <mergeCell ref="G34:J34"/>
    <mergeCell ref="G30:J30"/>
    <mergeCell ref="A9:B9"/>
    <mergeCell ref="G45:J45"/>
  </mergeCells>
  <conditionalFormatting sqref="B33:B200">
    <cfRule type="expression" rank="0" priority="2" equalAverage="0" aboveAverage="0" dxfId="0" text="" percent="0" bottom="0">
      <formula>$B33="Pagado"</formula>
    </cfRule>
    <cfRule type="expression" rank="0" priority="3" equalAverage="0" aboveAverage="0" dxfId="1" text="" percent="0" bottom="0">
      <formula>$B33="Pendiente"</formula>
    </cfRule>
    <cfRule type="expression" rank="0" priority="4" equalAverage="0" aboveAverage="0" dxfId="2" text="" percent="0" bottom="0">
      <formula>$B33="Cancelado"</formula>
    </cfRule>
  </conditionalFormatting>
  <dataValidations count="2">
    <dataValidation sqref="B33:B200" showDropDown="0" showInputMessage="0" showErrorMessage="0" allowBlank="1" type="list" errorStyle="stop" operator="between">
      <formula1>"Ninguno,Pendiente,Pagado,Cancelado"</formula1>
      <formula2>0</formula2>
    </dataValidation>
    <dataValidation sqref="H31:H62" showDropDown="0" showInputMessage="0" showErrorMessage="0" allowBlank="1" errorTitle="Estado inválido" error="Selecciona un estado válido" type="list">
      <formula1>"Ninguno,Pendiente,Pagado,Cancelado"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tabColor rgb="FF2C3E50"/>
    <outlinePr summaryBelow="1" summaryRight="1"/>
    <pageSetUpPr fitToPage="0"/>
  </sheetPr>
  <dimension ref="A1:J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2" customWidth="1" style="220" min="1" max="2"/>
    <col width="18" customWidth="1" style="220" min="3" max="3"/>
    <col width="28" customWidth="1" style="220" min="4" max="4"/>
    <col width="14" customWidth="1" style="220" min="5" max="6"/>
    <col width="18" customWidth="1" style="220" min="7" max="8"/>
  </cols>
  <sheetData>
    <row r="1" ht="18" customHeight="1" s="221">
      <c r="A1" s="310" t="inlineStr">
        <is>
          <t>📋 REGISTRO DE MOVIMIENTOS - JULIO 2026</t>
        </is>
      </c>
      <c r="I1" s="301" t="n"/>
      <c r="J1" s="301" t="n"/>
    </row>
    <row r="2" ht="15" customHeight="1" s="221">
      <c r="A2" s="301" t="n"/>
      <c r="B2" s="301" t="n"/>
      <c r="C2" s="301" t="n"/>
      <c r="D2" s="301" t="n"/>
      <c r="E2" s="301" t="n"/>
      <c r="F2" s="301" t="n"/>
      <c r="G2" s="301" t="n"/>
      <c r="H2" s="301" t="n"/>
      <c r="I2" s="301" t="n"/>
      <c r="J2" s="301" t="n"/>
    </row>
    <row r="3" ht="15" customHeight="1" s="221">
      <c r="A3" s="311" t="inlineStr">
        <is>
          <t>Fecha</t>
        </is>
      </c>
      <c r="B3" s="312" t="inlineStr">
        <is>
          <t>Tipo</t>
        </is>
      </c>
      <c r="C3" s="312" t="inlineStr">
        <is>
          <t>Categoría</t>
        </is>
      </c>
      <c r="D3" s="311" t="inlineStr">
        <is>
          <t>Descripción</t>
        </is>
      </c>
      <c r="E3" s="311" t="inlineStr">
        <is>
          <t>Ingreso</t>
        </is>
      </c>
      <c r="F3" s="311" t="inlineStr">
        <is>
          <t>Egreso</t>
        </is>
      </c>
      <c r="G3" s="311" t="inlineStr">
        <is>
          <t>Cuenta</t>
        </is>
      </c>
      <c r="H3" s="311" t="inlineStr">
        <is>
          <t>Notas</t>
        </is>
      </c>
      <c r="I3" s="301" t="n"/>
      <c r="J3" s="301" t="n"/>
    </row>
    <row r="4" ht="15" customHeight="1" s="221">
      <c r="A4" s="313" t="n"/>
      <c r="B4" s="314" t="n"/>
      <c r="C4" s="315" t="n"/>
      <c r="D4" s="316" t="n"/>
      <c r="E4" s="317" t="n"/>
      <c r="F4" s="317" t="n"/>
      <c r="G4" s="318" t="n"/>
      <c r="H4" s="316" t="n"/>
      <c r="I4" s="301" t="n"/>
      <c r="J4" s="301" t="n"/>
    </row>
    <row r="5" ht="15" customHeight="1" s="221">
      <c r="A5" s="319" t="n"/>
      <c r="B5" s="320" t="n"/>
      <c r="C5" s="321" t="n"/>
      <c r="D5" s="322" t="n"/>
      <c r="E5" s="323" t="n"/>
      <c r="F5" s="323" t="n"/>
      <c r="G5" s="324" t="n"/>
      <c r="H5" s="322" t="n"/>
      <c r="I5" s="301" t="n"/>
      <c r="J5" s="301" t="n"/>
    </row>
    <row r="6" ht="15" customHeight="1" s="221">
      <c r="A6" s="313" t="n"/>
      <c r="B6" s="314" t="n"/>
      <c r="C6" s="315" t="n"/>
      <c r="D6" s="316" t="n"/>
      <c r="E6" s="317" t="n"/>
      <c r="F6" s="317" t="n"/>
      <c r="G6" s="318" t="n"/>
      <c r="H6" s="316" t="n"/>
      <c r="I6" s="301" t="n"/>
      <c r="J6" s="301" t="n"/>
    </row>
    <row r="7" ht="15" customHeight="1" s="221">
      <c r="A7" s="319" t="n"/>
      <c r="B7" s="320" t="n"/>
      <c r="C7" s="321" t="n"/>
      <c r="D7" s="322" t="n"/>
      <c r="E7" s="323" t="n"/>
      <c r="F7" s="323" t="n"/>
      <c r="G7" s="324" t="n"/>
      <c r="H7" s="322" t="n"/>
      <c r="I7" s="301" t="n"/>
      <c r="J7" s="301" t="n"/>
    </row>
    <row r="8" ht="15" customHeight="1" s="221">
      <c r="A8" s="313" t="n"/>
      <c r="B8" s="314" t="n"/>
      <c r="C8" s="315" t="n"/>
      <c r="D8" s="316" t="n"/>
      <c r="E8" s="317" t="n"/>
      <c r="F8" s="317" t="n"/>
      <c r="G8" s="318" t="n"/>
      <c r="H8" s="316" t="n"/>
      <c r="I8" s="301" t="n"/>
      <c r="J8" s="301" t="n"/>
    </row>
    <row r="9" ht="15" customHeight="1" s="221">
      <c r="A9" s="319" t="n"/>
      <c r="B9" s="320" t="n"/>
      <c r="C9" s="321" t="n"/>
      <c r="D9" s="322" t="n"/>
      <c r="E9" s="323" t="n"/>
      <c r="F9" s="323" t="n"/>
      <c r="G9" s="324" t="n"/>
      <c r="H9" s="322" t="n"/>
      <c r="I9" s="301" t="n"/>
      <c r="J9" s="301" t="n"/>
    </row>
    <row r="10" ht="15" customHeight="1" s="221">
      <c r="A10" s="313" t="n"/>
      <c r="B10" s="314" t="n"/>
      <c r="C10" s="315" t="n"/>
      <c r="D10" s="316" t="n"/>
      <c r="E10" s="317" t="n"/>
      <c r="F10" s="317" t="n"/>
      <c r="G10" s="318" t="n"/>
      <c r="H10" s="316" t="n"/>
      <c r="I10" s="301" t="n"/>
      <c r="J10" s="301" t="n"/>
    </row>
    <row r="11" ht="15" customHeight="1" s="221">
      <c r="A11" s="319" t="n"/>
      <c r="B11" s="320" t="n"/>
      <c r="C11" s="321" t="n"/>
      <c r="D11" s="322" t="n"/>
      <c r="E11" s="323" t="n"/>
      <c r="F11" s="323" t="n"/>
      <c r="G11" s="324" t="n"/>
      <c r="H11" s="322" t="n"/>
      <c r="I11" s="301" t="n"/>
      <c r="J11" s="301" t="n"/>
    </row>
    <row r="12" ht="15" customHeight="1" s="221">
      <c r="A12" s="313" t="n"/>
      <c r="B12" s="314" t="n"/>
      <c r="C12" s="315" t="n"/>
      <c r="D12" s="316" t="n"/>
      <c r="E12" s="317" t="n"/>
      <c r="F12" s="317" t="n"/>
      <c r="G12" s="318" t="n"/>
      <c r="H12" s="316" t="n"/>
      <c r="I12" s="301" t="n"/>
      <c r="J12" s="301" t="n"/>
    </row>
    <row r="13" ht="15" customHeight="1" s="221">
      <c r="A13" s="319" t="n"/>
      <c r="B13" s="320" t="n"/>
      <c r="C13" s="321" t="n"/>
      <c r="D13" s="322" t="n"/>
      <c r="E13" s="323" t="n"/>
      <c r="F13" s="323" t="n"/>
      <c r="G13" s="324" t="n"/>
      <c r="H13" s="322" t="n"/>
      <c r="I13" s="301" t="n"/>
      <c r="J13" s="301" t="n"/>
    </row>
    <row r="14" ht="15" customHeight="1" s="221">
      <c r="A14" s="313" t="n"/>
      <c r="B14" s="314" t="n"/>
      <c r="C14" s="315" t="n"/>
      <c r="D14" s="316" t="n"/>
      <c r="E14" s="317" t="n"/>
      <c r="F14" s="317" t="n"/>
      <c r="G14" s="318" t="n"/>
      <c r="H14" s="316" t="n"/>
      <c r="I14" s="301" t="n"/>
      <c r="J14" s="301" t="n"/>
    </row>
    <row r="15" ht="15" customHeight="1" s="221">
      <c r="A15" s="319" t="n"/>
      <c r="B15" s="320" t="n"/>
      <c r="C15" s="321" t="n"/>
      <c r="D15" s="322" t="n"/>
      <c r="E15" s="323" t="n"/>
      <c r="F15" s="323" t="n"/>
      <c r="G15" s="324" t="n"/>
      <c r="H15" s="322" t="n"/>
      <c r="I15" s="301" t="n"/>
      <c r="J15" s="301" t="n"/>
    </row>
    <row r="16" ht="15" customHeight="1" s="221">
      <c r="A16" s="313" t="n"/>
      <c r="B16" s="314" t="n"/>
      <c r="C16" s="315" t="n"/>
      <c r="D16" s="316" t="n"/>
      <c r="E16" s="317" t="n"/>
      <c r="F16" s="317" t="n"/>
      <c r="G16" s="318" t="n"/>
      <c r="H16" s="316" t="n"/>
      <c r="I16" s="301" t="n"/>
      <c r="J16" s="301" t="n"/>
    </row>
    <row r="17" ht="15" customHeight="1" s="221">
      <c r="A17" s="319" t="n"/>
      <c r="B17" s="320" t="n"/>
      <c r="C17" s="321" t="n"/>
      <c r="D17" s="322" t="n"/>
      <c r="E17" s="323" t="n"/>
      <c r="F17" s="323" t="n"/>
      <c r="G17" s="324" t="n"/>
      <c r="H17" s="322" t="n"/>
      <c r="I17" s="301" t="n"/>
      <c r="J17" s="301" t="n"/>
    </row>
    <row r="18" ht="15" customHeight="1" s="221">
      <c r="A18" s="313" t="n"/>
      <c r="B18" s="314" t="n"/>
      <c r="C18" s="315" t="n"/>
      <c r="D18" s="316" t="n"/>
      <c r="E18" s="317" t="n"/>
      <c r="F18" s="317" t="n"/>
      <c r="G18" s="318" t="n"/>
      <c r="H18" s="316" t="n"/>
      <c r="I18" s="301" t="n"/>
      <c r="J18" s="301" t="n"/>
    </row>
    <row r="19" ht="15" customHeight="1" s="221">
      <c r="A19" s="319" t="n"/>
      <c r="B19" s="320" t="n"/>
      <c r="C19" s="321" t="n"/>
      <c r="D19" s="322" t="n"/>
      <c r="E19" s="323" t="n"/>
      <c r="F19" s="323" t="n"/>
      <c r="G19" s="324" t="n"/>
      <c r="H19" s="322" t="n"/>
      <c r="I19" s="301" t="n"/>
      <c r="J19" s="301" t="n"/>
    </row>
    <row r="20" ht="15" customHeight="1" s="221">
      <c r="A20" s="313" t="n"/>
      <c r="B20" s="314" t="n"/>
      <c r="C20" s="315" t="n"/>
      <c r="D20" s="316" t="n"/>
      <c r="E20" s="317" t="n"/>
      <c r="F20" s="317" t="n"/>
      <c r="G20" s="318" t="n"/>
      <c r="H20" s="316" t="n"/>
      <c r="I20" s="301" t="n"/>
      <c r="J20" s="301" t="n"/>
    </row>
    <row r="21" ht="15" customHeight="1" s="221">
      <c r="A21" s="319" t="n"/>
      <c r="B21" s="320" t="n"/>
      <c r="C21" s="321" t="n"/>
      <c r="D21" s="322" t="n"/>
      <c r="E21" s="323" t="n"/>
      <c r="F21" s="323" t="n"/>
      <c r="G21" s="324" t="n"/>
      <c r="H21" s="322" t="n"/>
      <c r="I21" s="301" t="n"/>
      <c r="J21" s="301" t="n"/>
    </row>
    <row r="22" ht="15" customHeight="1" s="221">
      <c r="A22" s="313" t="n"/>
      <c r="B22" s="314" t="n"/>
      <c r="C22" s="315" t="n"/>
      <c r="D22" s="316" t="n"/>
      <c r="E22" s="317" t="n"/>
      <c r="F22" s="317" t="n"/>
      <c r="G22" s="318" t="n"/>
      <c r="H22" s="316" t="n"/>
      <c r="I22" s="301" t="n"/>
      <c r="J22" s="301" t="n"/>
    </row>
    <row r="23" ht="15" customHeight="1" s="221">
      <c r="A23" s="319" t="n"/>
      <c r="B23" s="320" t="n"/>
      <c r="C23" s="321" t="n"/>
      <c r="D23" s="322" t="n"/>
      <c r="E23" s="323" t="n"/>
      <c r="F23" s="323" t="n"/>
      <c r="G23" s="324" t="n"/>
      <c r="H23" s="322" t="n"/>
      <c r="I23" s="301" t="n"/>
      <c r="J23" s="301" t="n"/>
    </row>
    <row r="24" ht="15" customHeight="1" s="221">
      <c r="A24" s="313" t="n"/>
      <c r="B24" s="318" t="n"/>
      <c r="C24" s="315" t="n"/>
      <c r="D24" s="316" t="n"/>
      <c r="E24" s="317" t="n"/>
      <c r="F24" s="317" t="n"/>
      <c r="G24" s="318" t="n"/>
      <c r="H24" s="316" t="n"/>
      <c r="I24" s="301" t="n"/>
      <c r="J24" s="301" t="n"/>
    </row>
    <row r="25" ht="15" customHeight="1" s="221">
      <c r="A25" s="319" t="n"/>
      <c r="B25" s="324" t="n"/>
      <c r="C25" s="321" t="n"/>
      <c r="D25" s="322" t="n"/>
      <c r="E25" s="323" t="n"/>
      <c r="F25" s="323" t="n"/>
      <c r="G25" s="324" t="n"/>
      <c r="H25" s="322" t="n"/>
      <c r="I25" s="301" t="n"/>
      <c r="J25" s="301" t="n"/>
    </row>
    <row r="26" ht="15" customHeight="1" s="221">
      <c r="A26" s="313" t="n"/>
      <c r="B26" s="318" t="n"/>
      <c r="C26" s="315" t="n"/>
      <c r="D26" s="316" t="n"/>
      <c r="E26" s="317" t="n"/>
      <c r="F26" s="317" t="n"/>
      <c r="G26" s="318" t="n"/>
      <c r="H26" s="316" t="n"/>
      <c r="I26" s="301" t="n"/>
      <c r="J26" s="301" t="n"/>
    </row>
    <row r="27" ht="15" customHeight="1" s="221">
      <c r="A27" s="319" t="n"/>
      <c r="B27" s="324" t="n"/>
      <c r="C27" s="321" t="n"/>
      <c r="D27" s="322" t="n"/>
      <c r="E27" s="323" t="n"/>
      <c r="F27" s="323" t="n"/>
      <c r="G27" s="324" t="n"/>
      <c r="H27" s="322" t="n"/>
      <c r="I27" s="301" t="n"/>
      <c r="J27" s="301" t="n"/>
    </row>
    <row r="28" ht="15" customHeight="1" s="221">
      <c r="A28" s="313" t="n"/>
      <c r="B28" s="318" t="n"/>
      <c r="C28" s="315" t="n"/>
      <c r="D28" s="316" t="n"/>
      <c r="E28" s="317" t="n"/>
      <c r="F28" s="317" t="n"/>
      <c r="G28" s="318" t="n"/>
      <c r="H28" s="316" t="n"/>
      <c r="I28" s="301" t="n"/>
      <c r="J28" s="301" t="n"/>
    </row>
    <row r="29" ht="15" customHeight="1" s="221">
      <c r="A29" s="319" t="n"/>
      <c r="B29" s="324" t="n"/>
      <c r="C29" s="321" t="n"/>
      <c r="D29" s="322" t="n"/>
      <c r="E29" s="323" t="n"/>
      <c r="F29" s="323" t="n"/>
      <c r="G29" s="324" t="n"/>
      <c r="H29" s="322" t="n"/>
      <c r="I29" s="301" t="n"/>
      <c r="J29" s="301" t="n"/>
    </row>
    <row r="30" ht="15" customHeight="1" s="221">
      <c r="A30" s="313" t="n"/>
      <c r="B30" s="318" t="n"/>
      <c r="C30" s="315" t="n"/>
      <c r="D30" s="316" t="n"/>
      <c r="E30" s="317" t="n"/>
      <c r="F30" s="317" t="n"/>
      <c r="G30" s="318" t="n"/>
      <c r="H30" s="316" t="n"/>
      <c r="I30" s="301" t="n"/>
      <c r="J30" s="301" t="n"/>
    </row>
    <row r="31" ht="15" customHeight="1" s="221">
      <c r="A31" s="319" t="n"/>
      <c r="B31" s="324" t="n"/>
      <c r="C31" s="321" t="n"/>
      <c r="D31" s="322" t="n"/>
      <c r="E31" s="323" t="n"/>
      <c r="F31" s="323" t="n"/>
      <c r="G31" s="324" t="n"/>
      <c r="H31" s="322" t="n"/>
      <c r="I31" s="301" t="n"/>
      <c r="J31" s="301" t="n"/>
    </row>
    <row r="32" ht="15" customHeight="1" s="221">
      <c r="A32" s="313" t="n"/>
      <c r="B32" s="318" t="n"/>
      <c r="C32" s="315" t="n"/>
      <c r="D32" s="316" t="n"/>
      <c r="E32" s="317" t="n"/>
      <c r="F32" s="317" t="n"/>
      <c r="G32" s="318" t="n"/>
      <c r="H32" s="316" t="n"/>
      <c r="I32" s="301" t="n"/>
      <c r="J32" s="301" t="n"/>
    </row>
    <row r="33" ht="15" customHeight="1" s="221">
      <c r="A33" s="319" t="n"/>
      <c r="B33" s="324" t="n"/>
      <c r="C33" s="321" t="n"/>
      <c r="D33" s="322" t="n"/>
      <c r="E33" s="323" t="n"/>
      <c r="F33" s="323" t="n"/>
      <c r="G33" s="324" t="n"/>
      <c r="H33" s="322" t="n"/>
      <c r="I33" s="301" t="n"/>
      <c r="J33" s="301" t="n"/>
    </row>
    <row r="34" ht="15" customHeight="1" s="221">
      <c r="A34" s="313" t="n"/>
      <c r="B34" s="318" t="n"/>
      <c r="C34" s="315" t="n"/>
      <c r="D34" s="316" t="n"/>
      <c r="E34" s="317" t="n"/>
      <c r="F34" s="317" t="n"/>
      <c r="G34" s="318" t="n"/>
      <c r="H34" s="316" t="n"/>
      <c r="I34" s="301" t="n"/>
      <c r="J34" s="301" t="n"/>
    </row>
    <row r="35" ht="15" customHeight="1" s="221">
      <c r="A35" s="319" t="n"/>
      <c r="B35" s="324" t="n"/>
      <c r="C35" s="322" t="n"/>
      <c r="D35" s="322" t="n"/>
      <c r="E35" s="323" t="n"/>
      <c r="F35" s="323" t="n"/>
      <c r="G35" s="324" t="n"/>
      <c r="H35" s="322" t="n"/>
      <c r="I35" s="301" t="n"/>
      <c r="J35" s="301" t="n"/>
    </row>
    <row r="36" ht="15" customHeight="1" s="221">
      <c r="A36" s="313" t="n"/>
      <c r="B36" s="318" t="n"/>
      <c r="C36" s="316" t="n"/>
      <c r="D36" s="316" t="n"/>
      <c r="E36" s="317" t="n"/>
      <c r="F36" s="317" t="n"/>
      <c r="G36" s="318" t="n"/>
      <c r="H36" s="316" t="n"/>
      <c r="I36" s="301" t="n"/>
      <c r="J36" s="301" t="n"/>
    </row>
    <row r="37" ht="15" customHeight="1" s="221">
      <c r="A37" s="319" t="n"/>
      <c r="B37" s="324" t="n"/>
      <c r="C37" s="322" t="n"/>
      <c r="D37" s="322" t="n"/>
      <c r="E37" s="323" t="n"/>
      <c r="F37" s="323" t="n"/>
      <c r="G37" s="324" t="n"/>
      <c r="H37" s="322" t="n"/>
      <c r="I37" s="301" t="n"/>
      <c r="J37" s="301" t="n"/>
    </row>
    <row r="38" ht="15" customHeight="1" s="221">
      <c r="A38" s="313" t="n"/>
      <c r="B38" s="318" t="n"/>
      <c r="C38" s="316" t="n"/>
      <c r="D38" s="316" t="n"/>
      <c r="E38" s="317" t="n"/>
      <c r="F38" s="317" t="n"/>
      <c r="G38" s="318" t="n"/>
      <c r="H38" s="316" t="n"/>
      <c r="I38" s="301" t="n"/>
      <c r="J38" s="301" t="n"/>
    </row>
    <row r="39" ht="15" customHeight="1" s="221">
      <c r="A39" s="319" t="n"/>
      <c r="B39" s="324" t="n"/>
      <c r="C39" s="322" t="n"/>
      <c r="D39" s="322" t="n"/>
      <c r="E39" s="323" t="n"/>
      <c r="F39" s="323" t="n"/>
      <c r="G39" s="324" t="n"/>
      <c r="H39" s="322" t="n"/>
      <c r="I39" s="301" t="n"/>
      <c r="J39" s="301" t="n"/>
    </row>
    <row r="40" ht="15" customHeight="1" s="221">
      <c r="A40" s="313" t="n"/>
      <c r="B40" s="318" t="n"/>
      <c r="C40" s="316" t="n"/>
      <c r="D40" s="316" t="n"/>
      <c r="E40" s="317" t="n"/>
      <c r="F40" s="317" t="n"/>
      <c r="G40" s="318" t="n"/>
      <c r="H40" s="316" t="n"/>
      <c r="I40" s="301" t="n"/>
      <c r="J40" s="301" t="n"/>
    </row>
    <row r="41" ht="15" customHeight="1" s="221">
      <c r="A41" s="319" t="n"/>
      <c r="B41" s="324" t="n"/>
      <c r="C41" s="322" t="n"/>
      <c r="D41" s="322" t="n"/>
      <c r="E41" s="323" t="n"/>
      <c r="F41" s="323" t="n"/>
      <c r="G41" s="324" t="n"/>
      <c r="H41" s="322" t="n"/>
      <c r="I41" s="301" t="n"/>
      <c r="J41" s="301" t="n"/>
    </row>
    <row r="42" ht="15" customHeight="1" s="221">
      <c r="A42" s="313" t="n"/>
      <c r="B42" s="318" t="n"/>
      <c r="C42" s="316" t="n"/>
      <c r="D42" s="316" t="n"/>
      <c r="E42" s="317" t="n"/>
      <c r="F42" s="317" t="n"/>
      <c r="G42" s="318" t="n"/>
      <c r="H42" s="316" t="n"/>
      <c r="I42" s="301" t="n"/>
      <c r="J42" s="301" t="n"/>
    </row>
    <row r="43" ht="15" customHeight="1" s="221">
      <c r="A43" s="319" t="n"/>
      <c r="B43" s="324" t="n"/>
      <c r="C43" s="322" t="n"/>
      <c r="D43" s="322" t="n"/>
      <c r="E43" s="323" t="n"/>
      <c r="F43" s="323" t="n"/>
      <c r="G43" s="324" t="n"/>
      <c r="H43" s="322" t="n"/>
      <c r="I43" s="301" t="n"/>
      <c r="J43" s="301" t="n"/>
    </row>
    <row r="44" ht="15" customHeight="1" s="221">
      <c r="A44" s="313" t="n"/>
      <c r="B44" s="318" t="n"/>
      <c r="C44" s="316" t="n"/>
      <c r="D44" s="316" t="n"/>
      <c r="E44" s="317" t="n"/>
      <c r="F44" s="317" t="n"/>
      <c r="G44" s="318" t="n"/>
      <c r="H44" s="316" t="n"/>
      <c r="I44" s="301" t="n"/>
      <c r="J44" s="301" t="n"/>
    </row>
    <row r="45" ht="15" customHeight="1" s="221">
      <c r="A45" s="319" t="n"/>
      <c r="B45" s="324" t="n"/>
      <c r="C45" s="322" t="n"/>
      <c r="D45" s="322" t="n"/>
      <c r="E45" s="323" t="n"/>
      <c r="F45" s="323" t="n"/>
      <c r="G45" s="324" t="n"/>
      <c r="H45" s="322" t="n"/>
      <c r="I45" s="301" t="n"/>
      <c r="J45" s="301" t="n"/>
    </row>
    <row r="46" ht="15" customHeight="1" s="221">
      <c r="A46" s="313" t="n"/>
      <c r="B46" s="318" t="n"/>
      <c r="C46" s="316" t="n"/>
      <c r="D46" s="316" t="n"/>
      <c r="E46" s="317" t="n"/>
      <c r="F46" s="317" t="n"/>
      <c r="G46" s="318" t="n"/>
      <c r="H46" s="316" t="n"/>
      <c r="I46" s="301" t="n"/>
      <c r="J46" s="301" t="n"/>
    </row>
    <row r="47" ht="15" customHeight="1" s="221">
      <c r="A47" s="319" t="n"/>
      <c r="B47" s="324" t="n"/>
      <c r="C47" s="322" t="n"/>
      <c r="D47" s="322" t="n"/>
      <c r="E47" s="323" t="n"/>
      <c r="F47" s="323" t="n"/>
      <c r="G47" s="324" t="n"/>
      <c r="H47" s="322" t="n"/>
      <c r="I47" s="301" t="n"/>
      <c r="J47" s="301" t="n"/>
    </row>
    <row r="48" ht="15" customHeight="1" s="221">
      <c r="A48" s="313" t="n"/>
      <c r="B48" s="318" t="n"/>
      <c r="C48" s="316" t="n"/>
      <c r="D48" s="316" t="n"/>
      <c r="E48" s="317" t="n"/>
      <c r="F48" s="317" t="n"/>
      <c r="G48" s="318" t="n"/>
      <c r="H48" s="316" t="n"/>
      <c r="I48" s="301" t="n"/>
      <c r="J48" s="301" t="n"/>
    </row>
    <row r="49" ht="15" customHeight="1" s="221">
      <c r="A49" s="319" t="n"/>
      <c r="B49" s="324" t="n"/>
      <c r="C49" s="322" t="n"/>
      <c r="D49" s="322" t="n"/>
      <c r="E49" s="323" t="n"/>
      <c r="F49" s="323" t="n"/>
      <c r="G49" s="324" t="n"/>
      <c r="H49" s="322" t="n"/>
      <c r="I49" s="301" t="n"/>
      <c r="J49" s="301" t="n"/>
    </row>
    <row r="50" ht="15" customHeight="1" s="221">
      <c r="A50" s="313" t="n"/>
      <c r="B50" s="318" t="n"/>
      <c r="C50" s="316" t="n"/>
      <c r="D50" s="316" t="n"/>
      <c r="E50" s="317" t="n"/>
      <c r="F50" s="317" t="n"/>
      <c r="G50" s="318" t="n"/>
      <c r="H50" s="316" t="n"/>
      <c r="I50" s="301" t="n"/>
      <c r="J50" s="301" t="n"/>
    </row>
    <row r="51" ht="15" customHeight="1" s="221">
      <c r="A51" s="319" t="n"/>
      <c r="B51" s="324" t="n"/>
      <c r="C51" s="322" t="n"/>
      <c r="D51" s="322" t="n"/>
      <c r="E51" s="323" t="n"/>
      <c r="F51" s="323" t="n"/>
      <c r="G51" s="324" t="n"/>
      <c r="H51" s="322" t="n"/>
      <c r="I51" s="301" t="n"/>
      <c r="J51" s="301" t="n"/>
    </row>
    <row r="52" ht="15" customHeight="1" s="221">
      <c r="A52" s="313" t="n"/>
      <c r="B52" s="318" t="n"/>
      <c r="C52" s="316" t="n"/>
      <c r="D52" s="316" t="n"/>
      <c r="E52" s="317" t="n"/>
      <c r="F52" s="317" t="n"/>
      <c r="G52" s="318" t="n"/>
      <c r="H52" s="316" t="n"/>
      <c r="I52" s="301" t="n"/>
      <c r="J52" s="301" t="n"/>
    </row>
    <row r="53" ht="15" customHeight="1" s="221">
      <c r="A53" s="319" t="n"/>
      <c r="B53" s="324" t="n"/>
      <c r="C53" s="322" t="n"/>
      <c r="D53" s="322" t="n"/>
      <c r="E53" s="323" t="n"/>
      <c r="F53" s="323" t="n"/>
      <c r="G53" s="324" t="n"/>
      <c r="H53" s="322" t="n"/>
      <c r="I53" s="301" t="n"/>
      <c r="J53" s="301" t="n"/>
    </row>
    <row r="54" ht="15" customHeight="1" s="221">
      <c r="A54" s="313" t="n"/>
      <c r="B54" s="318" t="n"/>
      <c r="C54" s="316" t="n"/>
      <c r="D54" s="316" t="n"/>
      <c r="E54" s="317" t="n"/>
      <c r="F54" s="317" t="n"/>
      <c r="G54" s="318" t="n"/>
      <c r="H54" s="316" t="n"/>
      <c r="I54" s="301" t="n"/>
      <c r="J54" s="301" t="n"/>
    </row>
    <row r="55" ht="15" customHeight="1" s="221">
      <c r="A55" s="319" t="n"/>
      <c r="B55" s="324" t="n"/>
      <c r="C55" s="322" t="n"/>
      <c r="D55" s="322" t="n"/>
      <c r="E55" s="323" t="n"/>
      <c r="F55" s="323" t="n"/>
      <c r="G55" s="324" t="n"/>
      <c r="H55" s="322" t="n"/>
      <c r="I55" s="301" t="n"/>
      <c r="J55" s="301" t="n"/>
    </row>
    <row r="56" ht="15" customHeight="1" s="221">
      <c r="A56" s="313" t="n"/>
      <c r="B56" s="318" t="n"/>
      <c r="C56" s="316" t="n"/>
      <c r="D56" s="316" t="n"/>
      <c r="E56" s="317" t="n"/>
      <c r="F56" s="317" t="n"/>
      <c r="G56" s="318" t="n"/>
      <c r="H56" s="316" t="n"/>
      <c r="I56" s="301" t="n"/>
      <c r="J56" s="301" t="n"/>
    </row>
    <row r="57" ht="15" customHeight="1" s="221">
      <c r="A57" s="319" t="n"/>
      <c r="B57" s="324" t="n"/>
      <c r="C57" s="322" t="n"/>
      <c r="D57" s="322" t="n"/>
      <c r="E57" s="323" t="n"/>
      <c r="F57" s="323" t="n"/>
      <c r="G57" s="324" t="n"/>
      <c r="H57" s="322" t="n"/>
      <c r="I57" s="301" t="n"/>
      <c r="J57" s="301" t="n"/>
    </row>
    <row r="58" ht="15" customHeight="1" s="221">
      <c r="A58" s="313" t="n"/>
      <c r="B58" s="318" t="n"/>
      <c r="C58" s="316" t="n"/>
      <c r="D58" s="316" t="n"/>
      <c r="E58" s="317" t="n"/>
      <c r="F58" s="317" t="n"/>
      <c r="G58" s="318" t="n"/>
      <c r="H58" s="316" t="n"/>
      <c r="I58" s="301" t="n"/>
      <c r="J58" s="301" t="n"/>
    </row>
    <row r="59" ht="15" customHeight="1" s="221">
      <c r="A59" s="319" t="n"/>
      <c r="B59" s="324" t="n"/>
      <c r="C59" s="322" t="n"/>
      <c r="D59" s="322" t="n"/>
      <c r="E59" s="323" t="n"/>
      <c r="F59" s="323" t="n"/>
      <c r="G59" s="324" t="n"/>
      <c r="H59" s="322" t="n"/>
      <c r="I59" s="301" t="n"/>
      <c r="J59" s="301" t="n"/>
    </row>
    <row r="60" ht="15" customHeight="1" s="221">
      <c r="A60" s="313" t="n"/>
      <c r="B60" s="318" t="n"/>
      <c r="C60" s="316" t="n"/>
      <c r="D60" s="316" t="n"/>
      <c r="E60" s="317" t="n"/>
      <c r="F60" s="317" t="n"/>
      <c r="G60" s="318" t="n"/>
      <c r="H60" s="316" t="n"/>
      <c r="I60" s="301" t="n"/>
      <c r="J60" s="301" t="n"/>
    </row>
    <row r="61" ht="15" customHeight="1" s="221">
      <c r="A61" s="319" t="n"/>
      <c r="B61" s="324" t="n"/>
      <c r="C61" s="322" t="n"/>
      <c r="D61" s="322" t="n"/>
      <c r="E61" s="323" t="n"/>
      <c r="F61" s="323" t="n"/>
      <c r="G61" s="324" t="n"/>
      <c r="H61" s="322" t="n"/>
      <c r="I61" s="301" t="n"/>
      <c r="J61" s="301" t="n"/>
    </row>
    <row r="62" ht="15" customHeight="1" s="221">
      <c r="A62" s="313" t="n"/>
      <c r="B62" s="318" t="n"/>
      <c r="C62" s="316" t="n"/>
      <c r="D62" s="316" t="n"/>
      <c r="E62" s="317" t="n"/>
      <c r="F62" s="317" t="n"/>
      <c r="G62" s="318" t="n"/>
      <c r="H62" s="316" t="n"/>
      <c r="I62" s="301" t="n"/>
      <c r="J62" s="301" t="n"/>
    </row>
    <row r="63" ht="15" customHeight="1" s="221">
      <c r="A63" s="319" t="n"/>
      <c r="B63" s="324" t="n"/>
      <c r="C63" s="322" t="n"/>
      <c r="D63" s="322" t="n"/>
      <c r="E63" s="323" t="n"/>
      <c r="F63" s="323" t="n"/>
      <c r="G63" s="324" t="n"/>
      <c r="H63" s="322" t="n"/>
      <c r="I63" s="301" t="n"/>
      <c r="J63" s="301" t="n"/>
    </row>
    <row r="64" ht="15" customHeight="1" s="221">
      <c r="A64" s="313" t="n"/>
      <c r="B64" s="318" t="n"/>
      <c r="C64" s="316" t="n"/>
      <c r="D64" s="316" t="n"/>
      <c r="E64" s="317" t="n"/>
      <c r="F64" s="317" t="n"/>
      <c r="G64" s="318" t="n"/>
      <c r="H64" s="316" t="n"/>
      <c r="I64" s="301" t="n"/>
      <c r="J64" s="301" t="n"/>
    </row>
    <row r="65" ht="15" customHeight="1" s="221">
      <c r="A65" s="319" t="n"/>
      <c r="B65" s="324" t="n"/>
      <c r="C65" s="322" t="n"/>
      <c r="D65" s="322" t="n"/>
      <c r="E65" s="323" t="n"/>
      <c r="F65" s="323" t="n"/>
      <c r="G65" s="324" t="n"/>
      <c r="H65" s="322" t="n"/>
      <c r="I65" s="301" t="n"/>
      <c r="J65" s="301" t="n"/>
    </row>
    <row r="66" ht="15" customHeight="1" s="221">
      <c r="A66" s="313" t="n"/>
      <c r="B66" s="318" t="n"/>
      <c r="C66" s="316" t="n"/>
      <c r="D66" s="316" t="n"/>
      <c r="E66" s="317" t="n"/>
      <c r="F66" s="317" t="n"/>
      <c r="G66" s="318" t="n"/>
      <c r="H66" s="316" t="n"/>
      <c r="I66" s="301" t="n"/>
      <c r="J66" s="301" t="n"/>
    </row>
    <row r="67" ht="15" customHeight="1" s="221">
      <c r="A67" s="319" t="n"/>
      <c r="B67" s="324" t="n"/>
      <c r="C67" s="322" t="n"/>
      <c r="D67" s="322" t="n"/>
      <c r="E67" s="323" t="n"/>
      <c r="F67" s="323" t="n"/>
      <c r="G67" s="324" t="n"/>
      <c r="H67" s="322" t="n"/>
      <c r="I67" s="301" t="n"/>
      <c r="J67" s="301" t="n"/>
    </row>
    <row r="68" ht="15" customHeight="1" s="221">
      <c r="A68" s="313" t="n"/>
      <c r="B68" s="318" t="n"/>
      <c r="C68" s="316" t="n"/>
      <c r="D68" s="316" t="n"/>
      <c r="E68" s="317" t="n"/>
      <c r="F68" s="317" t="n"/>
      <c r="G68" s="318" t="n"/>
      <c r="H68" s="316" t="n"/>
      <c r="I68" s="301" t="n"/>
      <c r="J68" s="301" t="n"/>
    </row>
    <row r="69" ht="15" customHeight="1" s="221">
      <c r="A69" s="319" t="n"/>
      <c r="B69" s="324" t="n"/>
      <c r="C69" s="322" t="n"/>
      <c r="D69" s="322" t="n"/>
      <c r="E69" s="323" t="n"/>
      <c r="F69" s="323" t="n"/>
      <c r="G69" s="324" t="n"/>
      <c r="H69" s="322" t="n"/>
      <c r="I69" s="301" t="n"/>
      <c r="J69" s="301" t="n"/>
    </row>
    <row r="70" ht="15" customHeight="1" s="221">
      <c r="A70" s="313" t="n"/>
      <c r="B70" s="318" t="n"/>
      <c r="C70" s="316" t="n"/>
      <c r="D70" s="316" t="n"/>
      <c r="E70" s="317" t="n"/>
      <c r="F70" s="317" t="n"/>
      <c r="G70" s="318" t="n"/>
      <c r="H70" s="316" t="n"/>
      <c r="I70" s="301" t="n"/>
      <c r="J70" s="301" t="n"/>
    </row>
    <row r="71" ht="15" customHeight="1" s="221">
      <c r="A71" s="319" t="n"/>
      <c r="B71" s="324" t="n"/>
      <c r="C71" s="322" t="n"/>
      <c r="D71" s="322" t="n"/>
      <c r="E71" s="323" t="n"/>
      <c r="F71" s="323" t="n"/>
      <c r="G71" s="324" t="n"/>
      <c r="H71" s="322" t="n"/>
      <c r="I71" s="301" t="n"/>
      <c r="J71" s="301" t="n"/>
    </row>
    <row r="72" ht="15" customHeight="1" s="221">
      <c r="A72" s="313" t="n"/>
      <c r="B72" s="318" t="n"/>
      <c r="C72" s="316" t="n"/>
      <c r="D72" s="316" t="n"/>
      <c r="E72" s="317" t="n"/>
      <c r="F72" s="317" t="n"/>
      <c r="G72" s="318" t="n"/>
      <c r="H72" s="316" t="n"/>
      <c r="I72" s="301" t="n"/>
      <c r="J72" s="301" t="n"/>
    </row>
    <row r="73" ht="15" customHeight="1" s="221">
      <c r="A73" s="319" t="n"/>
      <c r="B73" s="324" t="n"/>
      <c r="C73" s="322" t="n"/>
      <c r="D73" s="322" t="n"/>
      <c r="E73" s="323" t="n"/>
      <c r="F73" s="323" t="n"/>
      <c r="G73" s="324" t="n"/>
      <c r="H73" s="322" t="n"/>
      <c r="I73" s="301" t="n"/>
      <c r="J73" s="301" t="n"/>
    </row>
    <row r="74" ht="15" customHeight="1" s="221">
      <c r="A74" s="313" t="n"/>
      <c r="B74" s="318" t="n"/>
      <c r="C74" s="316" t="n"/>
      <c r="D74" s="316" t="n"/>
      <c r="E74" s="317" t="n"/>
      <c r="F74" s="317" t="n"/>
      <c r="G74" s="318" t="n"/>
      <c r="H74" s="316" t="n"/>
      <c r="I74" s="301" t="n"/>
      <c r="J74" s="301" t="n"/>
    </row>
    <row r="75" ht="15" customHeight="1" s="221">
      <c r="A75" s="319" t="n"/>
      <c r="B75" s="324" t="n"/>
      <c r="C75" s="322" t="n"/>
      <c r="D75" s="322" t="n"/>
      <c r="E75" s="323" t="n"/>
      <c r="F75" s="323" t="n"/>
      <c r="G75" s="324" t="n"/>
      <c r="H75" s="322" t="n"/>
      <c r="I75" s="301" t="n"/>
      <c r="J75" s="301" t="n"/>
    </row>
    <row r="76" ht="15" customHeight="1" s="221">
      <c r="A76" s="313" t="n"/>
      <c r="B76" s="318" t="n"/>
      <c r="C76" s="316" t="n"/>
      <c r="D76" s="316" t="n"/>
      <c r="E76" s="317" t="n"/>
      <c r="F76" s="317" t="n"/>
      <c r="G76" s="318" t="n"/>
      <c r="H76" s="316" t="n"/>
      <c r="I76" s="301" t="n"/>
      <c r="J76" s="301" t="n"/>
    </row>
    <row r="77" ht="15" customHeight="1" s="221">
      <c r="A77" s="319" t="n"/>
      <c r="B77" s="324" t="n"/>
      <c r="C77" s="322" t="n"/>
      <c r="D77" s="322" t="n"/>
      <c r="E77" s="323" t="n"/>
      <c r="F77" s="323" t="n"/>
      <c r="G77" s="324" t="n"/>
      <c r="H77" s="322" t="n"/>
      <c r="I77" s="301" t="n"/>
      <c r="J77" s="301" t="n"/>
    </row>
    <row r="78" ht="15" customHeight="1" s="221">
      <c r="A78" s="313" t="n"/>
      <c r="B78" s="318" t="n"/>
      <c r="C78" s="316" t="n"/>
      <c r="D78" s="316" t="n"/>
      <c r="E78" s="317" t="n"/>
      <c r="F78" s="317" t="n"/>
      <c r="G78" s="318" t="n"/>
      <c r="H78" s="316" t="n"/>
      <c r="I78" s="301" t="n"/>
      <c r="J78" s="301" t="n"/>
    </row>
    <row r="79" ht="15" customHeight="1" s="221">
      <c r="A79" s="319" t="n"/>
      <c r="B79" s="324" t="n"/>
      <c r="C79" s="322" t="n"/>
      <c r="D79" s="322" t="n"/>
      <c r="E79" s="323" t="n"/>
      <c r="F79" s="323" t="n"/>
      <c r="G79" s="324" t="n"/>
      <c r="H79" s="322" t="n"/>
      <c r="I79" s="301" t="n"/>
      <c r="J79" s="301" t="n"/>
    </row>
    <row r="80" ht="15" customHeight="1" s="221">
      <c r="A80" s="313" t="n"/>
      <c r="B80" s="318" t="n"/>
      <c r="C80" s="316" t="n"/>
      <c r="D80" s="316" t="n"/>
      <c r="E80" s="317" t="n"/>
      <c r="F80" s="317" t="n"/>
      <c r="G80" s="318" t="n"/>
      <c r="H80" s="316" t="n"/>
      <c r="I80" s="301" t="n"/>
      <c r="J80" s="301" t="n"/>
    </row>
    <row r="81" ht="15" customHeight="1" s="221">
      <c r="A81" s="319" t="n"/>
      <c r="B81" s="324" t="n"/>
      <c r="C81" s="322" t="n"/>
      <c r="D81" s="322" t="n"/>
      <c r="E81" s="323" t="n"/>
      <c r="F81" s="323" t="n"/>
      <c r="G81" s="324" t="n"/>
      <c r="H81" s="322" t="n"/>
      <c r="I81" s="301" t="n"/>
      <c r="J81" s="301" t="n"/>
    </row>
    <row r="82" ht="15" customHeight="1" s="221">
      <c r="A82" s="313" t="n"/>
      <c r="B82" s="318" t="n"/>
      <c r="C82" s="316" t="n"/>
      <c r="D82" s="316" t="n"/>
      <c r="E82" s="317" t="n"/>
      <c r="F82" s="317" t="n"/>
      <c r="G82" s="318" t="n"/>
      <c r="H82" s="316" t="n"/>
      <c r="I82" s="301" t="n"/>
      <c r="J82" s="301" t="n"/>
    </row>
    <row r="83" ht="15" customHeight="1" s="221">
      <c r="A83" s="319" t="n"/>
      <c r="B83" s="324" t="n"/>
      <c r="C83" s="322" t="n"/>
      <c r="D83" s="322" t="n"/>
      <c r="E83" s="323" t="n"/>
      <c r="F83" s="323" t="n"/>
      <c r="G83" s="324" t="n"/>
      <c r="H83" s="322" t="n"/>
      <c r="I83" s="301" t="n"/>
      <c r="J83" s="301" t="n"/>
    </row>
    <row r="84" ht="15" customHeight="1" s="221">
      <c r="A84" s="313" t="n"/>
      <c r="B84" s="318" t="n"/>
      <c r="C84" s="316" t="n"/>
      <c r="D84" s="316" t="n"/>
      <c r="E84" s="317" t="n"/>
      <c r="F84" s="317" t="n"/>
      <c r="G84" s="318" t="n"/>
      <c r="H84" s="316" t="n"/>
      <c r="I84" s="301" t="n"/>
      <c r="J84" s="301" t="n"/>
    </row>
    <row r="85" ht="15" customHeight="1" s="221">
      <c r="A85" s="319" t="n"/>
      <c r="B85" s="324" t="n"/>
      <c r="C85" s="322" t="n"/>
      <c r="D85" s="322" t="n"/>
      <c r="E85" s="323" t="n"/>
      <c r="F85" s="323" t="n"/>
      <c r="G85" s="324" t="n"/>
      <c r="H85" s="322" t="n"/>
      <c r="I85" s="301" t="n"/>
      <c r="J85" s="301" t="n"/>
    </row>
    <row r="86" ht="15" customHeight="1" s="221">
      <c r="A86" s="313" t="n"/>
      <c r="B86" s="318" t="n"/>
      <c r="C86" s="316" t="n"/>
      <c r="D86" s="316" t="n"/>
      <c r="E86" s="317" t="n"/>
      <c r="F86" s="317" t="n"/>
      <c r="G86" s="318" t="n"/>
      <c r="H86" s="316" t="n"/>
      <c r="I86" s="301" t="n"/>
      <c r="J86" s="301" t="n"/>
    </row>
    <row r="87" ht="15" customHeight="1" s="221">
      <c r="A87" s="319" t="n"/>
      <c r="B87" s="324" t="n"/>
      <c r="C87" s="322" t="n"/>
      <c r="D87" s="322" t="n"/>
      <c r="E87" s="323" t="n"/>
      <c r="F87" s="323" t="n"/>
      <c r="G87" s="324" t="n"/>
      <c r="H87" s="322" t="n"/>
      <c r="I87" s="301" t="n"/>
      <c r="J87" s="301" t="n"/>
    </row>
    <row r="88" ht="15" customHeight="1" s="221">
      <c r="A88" s="313" t="n"/>
      <c r="B88" s="318" t="n"/>
      <c r="C88" s="316" t="n"/>
      <c r="D88" s="316" t="n"/>
      <c r="E88" s="317" t="n"/>
      <c r="F88" s="317" t="n"/>
      <c r="G88" s="318" t="n"/>
      <c r="H88" s="316" t="n"/>
      <c r="I88" s="301" t="n"/>
      <c r="J88" s="301" t="n"/>
    </row>
    <row r="89" ht="15" customHeight="1" s="221">
      <c r="A89" s="319" t="n"/>
      <c r="B89" s="324" t="n"/>
      <c r="C89" s="322" t="n"/>
      <c r="D89" s="322" t="n"/>
      <c r="E89" s="323" t="n"/>
      <c r="F89" s="323" t="n"/>
      <c r="G89" s="324" t="n"/>
      <c r="H89" s="322" t="n"/>
      <c r="I89" s="301" t="n"/>
      <c r="J89" s="301" t="n"/>
    </row>
    <row r="90" ht="15" customHeight="1" s="221">
      <c r="A90" s="313" t="n"/>
      <c r="B90" s="318" t="n"/>
      <c r="C90" s="316" t="n"/>
      <c r="D90" s="316" t="n"/>
      <c r="E90" s="317" t="n"/>
      <c r="F90" s="317" t="n"/>
      <c r="G90" s="318" t="n"/>
      <c r="H90" s="316" t="n"/>
      <c r="I90" s="301" t="n"/>
      <c r="J90" s="301" t="n"/>
    </row>
    <row r="91" ht="15" customHeight="1" s="221">
      <c r="A91" s="319" t="n"/>
      <c r="B91" s="324" t="n"/>
      <c r="C91" s="322" t="n"/>
      <c r="D91" s="322" t="n"/>
      <c r="E91" s="323" t="n"/>
      <c r="F91" s="323" t="n"/>
      <c r="G91" s="324" t="n"/>
      <c r="H91" s="322" t="n"/>
      <c r="I91" s="301" t="n"/>
      <c r="J91" s="301" t="n"/>
    </row>
    <row r="92" ht="15" customHeight="1" s="221">
      <c r="A92" s="313" t="n"/>
      <c r="B92" s="318" t="n"/>
      <c r="C92" s="316" t="n"/>
      <c r="D92" s="316" t="n"/>
      <c r="E92" s="317" t="n"/>
      <c r="F92" s="317" t="n"/>
      <c r="G92" s="318" t="n"/>
      <c r="H92" s="316" t="n"/>
      <c r="I92" s="301" t="n"/>
      <c r="J92" s="301" t="n"/>
    </row>
    <row r="93" ht="15" customHeight="1" s="221">
      <c r="A93" s="319" t="n"/>
      <c r="B93" s="324" t="n"/>
      <c r="C93" s="322" t="n"/>
      <c r="D93" s="322" t="n"/>
      <c r="E93" s="323" t="n"/>
      <c r="F93" s="323" t="n"/>
      <c r="G93" s="324" t="n"/>
      <c r="H93" s="322" t="n"/>
      <c r="I93" s="301" t="n"/>
      <c r="J93" s="301" t="n"/>
    </row>
    <row r="94" ht="15" customHeight="1" s="221">
      <c r="A94" s="313" t="n"/>
      <c r="B94" s="318" t="n"/>
      <c r="C94" s="316" t="n"/>
      <c r="D94" s="316" t="n"/>
      <c r="E94" s="317" t="n"/>
      <c r="F94" s="317" t="n"/>
      <c r="G94" s="318" t="n"/>
      <c r="H94" s="316" t="n"/>
      <c r="I94" s="301" t="n"/>
      <c r="J94" s="301" t="n"/>
    </row>
    <row r="95" ht="15" customHeight="1" s="221">
      <c r="A95" s="319" t="n"/>
      <c r="B95" s="324" t="n"/>
      <c r="C95" s="322" t="n"/>
      <c r="D95" s="322" t="n"/>
      <c r="E95" s="323" t="n"/>
      <c r="F95" s="323" t="n"/>
      <c r="G95" s="324" t="n"/>
      <c r="H95" s="322" t="n"/>
      <c r="I95" s="301" t="n"/>
      <c r="J95" s="301" t="n"/>
    </row>
    <row r="96" ht="15" customHeight="1" s="221">
      <c r="A96" s="313" t="n"/>
      <c r="B96" s="318" t="n"/>
      <c r="C96" s="316" t="n"/>
      <c r="D96" s="316" t="n"/>
      <c r="E96" s="317" t="n"/>
      <c r="F96" s="317" t="n"/>
      <c r="G96" s="318" t="n"/>
      <c r="H96" s="316" t="n"/>
      <c r="I96" s="301" t="n"/>
      <c r="J96" s="301" t="n"/>
    </row>
    <row r="97" ht="15" customHeight="1" s="221">
      <c r="A97" s="319" t="n"/>
      <c r="B97" s="324" t="n"/>
      <c r="C97" s="322" t="n"/>
      <c r="D97" s="322" t="n"/>
      <c r="E97" s="323" t="n"/>
      <c r="F97" s="323" t="n"/>
      <c r="G97" s="324" t="n"/>
      <c r="H97" s="322" t="n"/>
      <c r="I97" s="301" t="n"/>
      <c r="J97" s="301" t="n"/>
    </row>
    <row r="98" ht="15" customHeight="1" s="221">
      <c r="A98" s="313" t="n"/>
      <c r="B98" s="318" t="n"/>
      <c r="C98" s="316" t="n"/>
      <c r="D98" s="316" t="n"/>
      <c r="E98" s="317" t="n"/>
      <c r="F98" s="317" t="n"/>
      <c r="G98" s="318" t="n"/>
      <c r="H98" s="316" t="n"/>
      <c r="I98" s="301" t="n"/>
      <c r="J98" s="301" t="n"/>
    </row>
    <row r="99" ht="15" customHeight="1" s="221">
      <c r="A99" s="319" t="n"/>
      <c r="B99" s="324" t="n"/>
      <c r="C99" s="322" t="n"/>
      <c r="D99" s="322" t="n"/>
      <c r="E99" s="323" t="n"/>
      <c r="F99" s="323" t="n"/>
      <c r="G99" s="324" t="n"/>
      <c r="H99" s="322" t="n"/>
      <c r="I99" s="301" t="n"/>
      <c r="J99" s="301" t="n"/>
    </row>
    <row r="100" ht="15" customHeight="1" s="221">
      <c r="A100" s="313" t="n"/>
      <c r="B100" s="318" t="n"/>
      <c r="C100" s="316" t="n"/>
      <c r="D100" s="316" t="n"/>
      <c r="E100" s="317" t="n"/>
      <c r="F100" s="317" t="n"/>
      <c r="G100" s="318" t="n"/>
      <c r="H100" s="316" t="n"/>
      <c r="I100" s="301" t="n"/>
      <c r="J100" s="301" t="n"/>
    </row>
    <row r="101" ht="15" customHeight="1" s="221">
      <c r="A101" s="319" t="n"/>
      <c r="B101" s="324" t="n"/>
      <c r="C101" s="322" t="n"/>
      <c r="D101" s="322" t="n"/>
      <c r="E101" s="323" t="n"/>
      <c r="F101" s="323" t="n"/>
      <c r="G101" s="324" t="n"/>
      <c r="H101" s="322" t="n"/>
      <c r="I101" s="301" t="n"/>
      <c r="J101" s="301" t="n"/>
    </row>
    <row r="102" ht="15" customHeight="1" s="221">
      <c r="A102" s="313" t="n"/>
      <c r="B102" s="318" t="n"/>
      <c r="C102" s="316" t="n"/>
      <c r="D102" s="316" t="n"/>
      <c r="E102" s="317" t="n"/>
      <c r="F102" s="317" t="n"/>
      <c r="G102" s="318" t="n"/>
      <c r="H102" s="316" t="n"/>
      <c r="I102" s="301" t="n"/>
      <c r="J102" s="301" t="n"/>
    </row>
    <row r="103" ht="15" customHeight="1" s="221">
      <c r="A103" s="319" t="n"/>
      <c r="B103" s="324" t="n"/>
      <c r="C103" s="322" t="n"/>
      <c r="D103" s="322" t="n"/>
      <c r="E103" s="323" t="n"/>
      <c r="F103" s="323" t="n"/>
      <c r="G103" s="324" t="n"/>
      <c r="H103" s="322" t="n"/>
      <c r="I103" s="301" t="n"/>
      <c r="J103" s="301" t="n"/>
    </row>
    <row r="104" ht="15" customHeight="1" s="221">
      <c r="A104" s="325" t="inlineStr">
        <is>
          <t>TOTALES</t>
        </is>
      </c>
      <c r="E104" s="326">
        <f>SUM(E4:E103)</f>
        <v/>
      </c>
      <c r="F104" s="327">
        <f>SUM(F4:F103)</f>
        <v/>
      </c>
      <c r="G104" s="301" t="n"/>
      <c r="H104" s="301" t="n"/>
      <c r="I104" s="301" t="n"/>
      <c r="J104" s="301" t="n"/>
    </row>
    <row r="105" ht="18" customHeight="1" s="221">
      <c r="A105" s="301" t="n"/>
      <c r="B105" s="301" t="n"/>
      <c r="C105" s="301" t="n"/>
      <c r="D105" s="301" t="n"/>
      <c r="E105" s="328" t="n"/>
      <c r="F105" s="301" t="n"/>
      <c r="G105" s="301" t="n"/>
      <c r="H105" s="301" t="n"/>
      <c r="I105" s="301" t="n"/>
      <c r="J105" s="301" t="n"/>
    </row>
    <row r="106" ht="15" customHeight="1" s="221">
      <c r="A106" s="310" t="inlineStr">
        <is>
          <t>📊 RESUMEN DEL MES</t>
        </is>
      </c>
      <c r="D106" s="301" t="n"/>
      <c r="E106" s="328" t="n"/>
      <c r="F106" s="301" t="n"/>
      <c r="G106" s="301" t="n"/>
      <c r="H106" s="301" t="n"/>
      <c r="I106" s="301" t="n"/>
      <c r="J106" s="301" t="n"/>
    </row>
    <row r="107" ht="15" customHeight="1" s="221">
      <c r="A107" s="223" t="inlineStr">
        <is>
          <t>INGRESOS:</t>
        </is>
      </c>
      <c r="B107" s="301" t="n"/>
      <c r="C107" s="328">
        <f>SUMIF(B4:B103,"Ingreso NT",E4:E103)</f>
        <v/>
      </c>
      <c r="D107" s="301" t="n"/>
      <c r="E107" s="328" t="n"/>
      <c r="F107" s="301" t="n"/>
      <c r="G107" s="301" t="n"/>
      <c r="H107" s="301" t="n"/>
      <c r="I107" s="301" t="n"/>
      <c r="J107" s="301" t="n"/>
    </row>
    <row r="108" ht="15" customHeight="1" s="221">
      <c r="A108" s="301" t="inlineStr">
        <is>
          <t xml:space="preserve">  Ingreso NT:</t>
        </is>
      </c>
      <c r="B108" s="301" t="n"/>
      <c r="C108" s="329">
        <f>SUMIF(B4:B103,"Ingreso NT",E4:E103)</f>
        <v/>
      </c>
      <c r="D108" s="301" t="n"/>
      <c r="E108" s="328" t="n"/>
      <c r="F108" s="301" t="n"/>
      <c r="G108" s="301" t="n"/>
      <c r="H108" s="301" t="n"/>
      <c r="I108" s="301" t="n"/>
      <c r="J108" s="301" t="n"/>
    </row>
    <row r="109" ht="15" customHeight="1" s="221">
      <c r="A109" s="301" t="inlineStr">
        <is>
          <t xml:space="preserve">  Ingreso Marco:</t>
        </is>
      </c>
      <c r="B109" s="301" t="n"/>
      <c r="C109" s="330">
        <f>SUMIF(B4:B103,"Ingreso Marco",E4:E103)</f>
        <v/>
      </c>
      <c r="D109" s="301" t="n"/>
      <c r="E109" s="328" t="n"/>
      <c r="F109" s="301" t="n"/>
      <c r="G109" s="301" t="n"/>
      <c r="H109" s="301" t="n"/>
      <c r="I109" s="301" t="n"/>
      <c r="J109" s="301" t="n"/>
    </row>
    <row r="110" ht="15" customHeight="1" s="221">
      <c r="A110" s="301" t="inlineStr">
        <is>
          <t xml:space="preserve">  Ingreso Clara:</t>
        </is>
      </c>
      <c r="B110" s="301" t="n"/>
      <c r="C110" s="331">
        <f>SUMIF(B4:B103,"Ingreso Clara",E4:E103)</f>
        <v/>
      </c>
      <c r="D110" s="301" t="n"/>
      <c r="E110" s="328" t="n"/>
      <c r="F110" s="301" t="n"/>
      <c r="G110" s="301" t="n"/>
      <c r="H110" s="301" t="n"/>
      <c r="I110" s="301" t="n"/>
      <c r="J110" s="301" t="n"/>
    </row>
    <row r="111" ht="15" customHeight="1" s="221">
      <c r="A111" s="301" t="inlineStr">
        <is>
          <t xml:space="preserve">  Devolución Fam → NT:</t>
        </is>
      </c>
      <c r="B111" s="301" t="n"/>
      <c r="C111" s="332">
        <f>SUMIF(B4:B103,"Devolución Familia → NT",E4:E103)</f>
        <v/>
      </c>
      <c r="D111" s="301" t="n"/>
      <c r="E111" s="328" t="n"/>
      <c r="F111" s="301" t="n"/>
      <c r="G111" s="301" t="n"/>
      <c r="H111" s="301" t="n"/>
      <c r="I111" s="301" t="n"/>
      <c r="J111" s="301" t="n"/>
    </row>
    <row r="112" ht="15" customHeight="1" s="221">
      <c r="A112" s="223" t="inlineStr">
        <is>
          <t xml:space="preserve">  TOTAL INGRESOS:</t>
        </is>
      </c>
      <c r="B112" s="301" t="n"/>
      <c r="C112" s="333">
        <f>SUM(C108:C111)</f>
        <v/>
      </c>
      <c r="D112" s="301" t="n"/>
      <c r="E112" s="328" t="n"/>
      <c r="F112" s="301" t="n"/>
      <c r="G112" s="301" t="n"/>
      <c r="H112" s="301" t="n"/>
      <c r="I112" s="301" t="n"/>
      <c r="J112" s="301" t="n"/>
    </row>
    <row r="113" ht="15" customHeight="1" s="221">
      <c r="A113" s="301" t="inlineStr">
        <is>
          <t>EGRESOS:</t>
        </is>
      </c>
      <c r="B113" s="301" t="n"/>
      <c r="C113" s="301" t="n"/>
      <c r="D113" s="301" t="n"/>
      <c r="E113" s="328" t="n"/>
      <c r="F113" s="301" t="n"/>
      <c r="G113" s="301" t="n"/>
      <c r="H113" s="301" t="n"/>
      <c r="I113" s="301" t="n"/>
      <c r="J113" s="301" t="n"/>
    </row>
    <row r="114" ht="15" customHeight="1" s="221">
      <c r="A114" s="223" t="inlineStr">
        <is>
          <t>EGRESOS:</t>
        </is>
      </c>
      <c r="B114" s="301" t="n"/>
      <c r="C114" s="328">
        <f>SUMIF(B4:B103,"Egreso NT",F4:F103)</f>
        <v/>
      </c>
      <c r="D114" s="301" t="n"/>
      <c r="E114" s="328" t="n"/>
      <c r="F114" s="301" t="n"/>
      <c r="G114" s="301" t="n"/>
      <c r="H114" s="301" t="n"/>
      <c r="I114" s="301" t="n"/>
      <c r="J114" s="301" t="n"/>
    </row>
    <row r="115" ht="15" customHeight="1" s="221">
      <c r="A115" s="301" t="inlineStr">
        <is>
          <t xml:space="preserve">  Egreso NT:</t>
        </is>
      </c>
      <c r="B115" s="301" t="n"/>
      <c r="C115" s="334">
        <f>SUMIF(B4:B103,"Egreso NT",F4:F103)</f>
        <v/>
      </c>
      <c r="D115" s="301" t="n"/>
      <c r="E115" s="328" t="n"/>
      <c r="F115" s="301" t="n"/>
      <c r="G115" s="301" t="n"/>
      <c r="H115" s="301" t="n"/>
      <c r="I115" s="301" t="n"/>
      <c r="J115" s="301" t="n"/>
    </row>
    <row r="116" ht="15" customHeight="1" s="221">
      <c r="A116" s="301" t="inlineStr">
        <is>
          <t xml:space="preserve">  Egreso Familiar:</t>
        </is>
      </c>
      <c r="B116" s="301" t="n"/>
      <c r="C116" s="335">
        <f>SUMIF(B4:B103,"Egreso Familiar",F4:F103)</f>
        <v/>
      </c>
      <c r="D116" s="301" t="n"/>
      <c r="E116" s="328" t="n"/>
      <c r="F116" s="301" t="n"/>
      <c r="G116" s="301" t="n"/>
      <c r="H116" s="301" t="n"/>
      <c r="I116" s="301" t="n"/>
      <c r="J116" s="301" t="n"/>
    </row>
    <row r="117" ht="15" customHeight="1" s="221">
      <c r="A117" s="301" t="inlineStr">
        <is>
          <t xml:space="preserve">  Préstamo NT → Fam:</t>
        </is>
      </c>
      <c r="B117" s="301" t="n"/>
      <c r="C117" s="336">
        <f>SUMIF(B4:B103,"Préstamo NT → Familia",F4:F103)</f>
        <v/>
      </c>
      <c r="D117" s="301" t="n"/>
      <c r="E117" s="328" t="n"/>
      <c r="F117" s="301" t="n"/>
      <c r="G117" s="301" t="n"/>
      <c r="H117" s="301" t="n"/>
      <c r="I117" s="301" t="n"/>
      <c r="J117" s="301" t="n"/>
    </row>
    <row r="118" ht="15" customHeight="1" s="221">
      <c r="A118" s="223" t="inlineStr">
        <is>
          <t xml:space="preserve">  TOTAL EGRESOS:</t>
        </is>
      </c>
      <c r="B118" s="301" t="n"/>
      <c r="C118" s="337">
        <f>SUM(C115:C117)</f>
        <v/>
      </c>
      <c r="D118" s="301" t="n"/>
      <c r="E118" s="328" t="n"/>
      <c r="F118" s="301" t="n"/>
      <c r="G118" s="301" t="n"/>
      <c r="H118" s="301" t="n"/>
      <c r="I118" s="301" t="n"/>
      <c r="J118" s="301" t="n"/>
    </row>
    <row r="119" ht="15" customHeight="1" s="221">
      <c r="A119" s="301" t="n"/>
      <c r="B119" s="301" t="n"/>
      <c r="C119" s="301" t="n"/>
      <c r="D119" s="301" t="n"/>
      <c r="E119" s="328" t="n"/>
      <c r="F119" s="301" t="n"/>
      <c r="G119" s="301" t="n"/>
      <c r="H119" s="301" t="n"/>
      <c r="I119" s="301" t="n"/>
      <c r="J119" s="301" t="n"/>
    </row>
    <row r="120" ht="15" customHeight="1" s="221">
      <c r="A120" s="223" t="inlineStr">
        <is>
          <t>SALDO PRÉSTAMO NT → FAM:</t>
        </is>
      </c>
      <c r="B120" s="301" t="n"/>
      <c r="C120" s="338">
        <f>C117-C111</f>
        <v/>
      </c>
      <c r="D120" s="301" t="n"/>
      <c r="E120" s="328" t="n"/>
      <c r="F120" s="301" t="n"/>
      <c r="G120" s="301" t="n"/>
      <c r="H120" s="301" t="n"/>
      <c r="I120" s="301" t="n"/>
      <c r="J120" s="301" t="n"/>
    </row>
    <row r="121" ht="15" customHeight="1" s="221">
      <c r="A121" s="339" t="inlineStr">
        <is>
          <t>(Prestado - Devuelto)</t>
        </is>
      </c>
      <c r="B121" s="301" t="n"/>
      <c r="C121" s="301" t="n"/>
      <c r="D121" s="301" t="n"/>
      <c r="E121" s="328" t="n"/>
      <c r="F121" s="301" t="n"/>
      <c r="G121" s="301" t="n"/>
      <c r="H121" s="301" t="n"/>
      <c r="I121" s="301" t="n"/>
      <c r="J121" s="301" t="n"/>
    </row>
    <row r="122" ht="15" customHeight="1" s="221">
      <c r="A122" s="301" t="n"/>
      <c r="B122" s="301" t="n"/>
      <c r="C122" s="301" t="n"/>
      <c r="D122" s="301" t="n"/>
      <c r="E122" s="328" t="n"/>
      <c r="F122" s="301" t="n"/>
      <c r="G122" s="301" t="n"/>
      <c r="H122" s="301" t="n"/>
      <c r="I122" s="301" t="n"/>
      <c r="J122" s="301" t="n"/>
    </row>
    <row r="123" ht="15" customHeight="1" s="221">
      <c r="A123" s="301" t="n"/>
      <c r="B123" s="301" t="n"/>
      <c r="C123" s="301" t="n"/>
      <c r="D123" s="301" t="n"/>
      <c r="E123" s="328" t="n"/>
      <c r="F123" s="301" t="n"/>
      <c r="G123" s="301" t="n"/>
      <c r="H123" s="301" t="n"/>
      <c r="I123" s="301" t="n"/>
      <c r="J123" s="301" t="n"/>
    </row>
    <row r="124" ht="15" customHeight="1" s="221">
      <c r="A124" s="301" t="n"/>
      <c r="B124" s="301" t="n"/>
      <c r="C124" s="301" t="n"/>
      <c r="D124" s="301" t="n"/>
      <c r="E124" s="328" t="n"/>
      <c r="F124" s="301" t="n"/>
      <c r="G124" s="301" t="n"/>
      <c r="H124" s="301" t="n"/>
      <c r="I124" s="301" t="n"/>
      <c r="J124" s="301" t="n"/>
    </row>
    <row r="125" ht="15" customHeight="1" s="221">
      <c r="A125" s="301" t="n"/>
      <c r="B125" s="301" t="n"/>
      <c r="C125" s="301" t="n"/>
      <c r="D125" s="301" t="n"/>
      <c r="E125" s="328" t="n"/>
      <c r="F125" s="301" t="n"/>
      <c r="G125" s="301" t="n"/>
      <c r="H125" s="301" t="n"/>
      <c r="I125" s="301" t="n"/>
      <c r="J125" s="301" t="n"/>
    </row>
    <row r="126" ht="15" customHeight="1" s="221">
      <c r="A126" s="301" t="n"/>
      <c r="B126" s="301" t="n"/>
      <c r="C126" s="301" t="n"/>
      <c r="D126" s="301" t="n"/>
      <c r="E126" s="328" t="n"/>
      <c r="F126" s="301" t="n"/>
      <c r="G126" s="301" t="n"/>
      <c r="H126" s="301" t="n"/>
      <c r="I126" s="301" t="n"/>
      <c r="J126" s="301" t="n"/>
    </row>
    <row r="127" ht="15" customHeight="1" s="221">
      <c r="A127" s="301" t="n"/>
      <c r="B127" s="301" t="n"/>
      <c r="C127" s="301" t="n"/>
      <c r="D127" s="301" t="n"/>
      <c r="E127" s="328" t="n"/>
      <c r="F127" s="301" t="n"/>
      <c r="G127" s="301" t="n"/>
      <c r="H127" s="301" t="n"/>
      <c r="I127" s="301" t="n"/>
      <c r="J127" s="301" t="n"/>
    </row>
    <row r="128" ht="15" customHeight="1" s="221">
      <c r="A128" s="301" t="n"/>
      <c r="B128" s="301" t="n"/>
      <c r="C128" s="301" t="n"/>
      <c r="D128" s="301" t="n"/>
      <c r="E128" s="328" t="n"/>
      <c r="F128" s="301" t="n"/>
      <c r="G128" s="301" t="n"/>
      <c r="H128" s="301" t="n"/>
      <c r="I128" s="301" t="n"/>
      <c r="J128" s="301" t="n"/>
    </row>
    <row r="129" ht="15" customHeight="1" s="221">
      <c r="A129" s="301" t="n"/>
      <c r="B129" s="301" t="n"/>
      <c r="C129" s="301" t="n"/>
      <c r="D129" s="301" t="n"/>
      <c r="E129" s="328" t="n"/>
      <c r="F129" s="301" t="n"/>
      <c r="G129" s="301" t="n"/>
      <c r="H129" s="301" t="n"/>
      <c r="I129" s="301" t="n"/>
      <c r="J129" s="301" t="n"/>
    </row>
    <row r="130" ht="15" customHeight="1" s="221">
      <c r="A130" s="301" t="n"/>
      <c r="B130" s="301" t="n"/>
      <c r="C130" s="301" t="n"/>
      <c r="D130" s="301" t="n"/>
      <c r="E130" s="328" t="n"/>
      <c r="F130" s="301" t="n"/>
      <c r="G130" s="301" t="n"/>
      <c r="H130" s="301" t="n"/>
      <c r="I130" s="301" t="n"/>
      <c r="J130" s="301" t="n"/>
    </row>
    <row r="131" ht="15" customHeight="1" s="221">
      <c r="A131" s="301" t="n"/>
      <c r="B131" s="301" t="n"/>
      <c r="C131" s="301" t="n"/>
      <c r="D131" s="301" t="n"/>
      <c r="E131" s="328" t="n"/>
      <c r="F131" s="301" t="n"/>
      <c r="G131" s="301" t="n"/>
      <c r="H131" s="301" t="n"/>
      <c r="I131" s="301" t="n"/>
      <c r="J131" s="301" t="n"/>
    </row>
    <row r="132" ht="15" customHeight="1" s="221">
      <c r="A132" s="301" t="n"/>
      <c r="B132" s="301" t="n"/>
      <c r="C132" s="301" t="n"/>
      <c r="D132" s="301" t="n"/>
      <c r="E132" s="328" t="n"/>
      <c r="F132" s="301" t="n"/>
      <c r="G132" s="301" t="n"/>
      <c r="H132" s="301" t="n"/>
      <c r="I132" s="301" t="n"/>
      <c r="J132" s="301" t="n"/>
    </row>
    <row r="133" ht="15" customHeight="1" s="221">
      <c r="A133" s="301" t="n"/>
      <c r="B133" s="301" t="n"/>
      <c r="C133" s="301" t="n"/>
      <c r="D133" s="301" t="n"/>
      <c r="E133" s="328" t="n"/>
      <c r="F133" s="301" t="n"/>
      <c r="G133" s="301" t="n"/>
      <c r="H133" s="301" t="n"/>
      <c r="I133" s="301" t="n"/>
      <c r="J133" s="301" t="n"/>
    </row>
    <row r="134" ht="15" customHeight="1" s="221">
      <c r="A134" s="301" t="n"/>
      <c r="B134" s="301" t="n"/>
      <c r="C134" s="301" t="n"/>
      <c r="D134" s="301" t="n"/>
      <c r="E134" s="328" t="n"/>
      <c r="F134" s="301" t="n"/>
      <c r="G134" s="301" t="n"/>
      <c r="H134" s="301" t="n"/>
      <c r="I134" s="301" t="n"/>
      <c r="J134" s="301" t="n"/>
    </row>
    <row r="135" ht="15" customHeight="1" s="221">
      <c r="A135" s="301" t="n"/>
      <c r="B135" s="301" t="n"/>
      <c r="C135" s="301" t="n"/>
      <c r="D135" s="301" t="n"/>
      <c r="E135" s="328" t="n"/>
      <c r="F135" s="301" t="n"/>
      <c r="G135" s="301" t="n"/>
      <c r="H135" s="301" t="n"/>
      <c r="I135" s="301" t="n"/>
      <c r="J135" s="301" t="n"/>
    </row>
    <row r="136" ht="15" customHeight="1" s="221">
      <c r="A136" s="301" t="n"/>
      <c r="B136" s="301" t="n"/>
      <c r="C136" s="301" t="n"/>
      <c r="D136" s="301" t="n"/>
      <c r="E136" s="328" t="n"/>
      <c r="F136" s="301" t="n"/>
      <c r="G136" s="301" t="n"/>
      <c r="H136" s="301" t="n"/>
      <c r="I136" s="301" t="n"/>
      <c r="J136" s="301" t="n"/>
    </row>
    <row r="137" ht="15" customHeight="1" s="221">
      <c r="A137" s="301" t="n"/>
      <c r="B137" s="301" t="n"/>
      <c r="C137" s="301" t="n"/>
      <c r="D137" s="301" t="n"/>
      <c r="E137" s="328" t="n"/>
      <c r="F137" s="301" t="n"/>
      <c r="G137" s="301" t="n"/>
      <c r="H137" s="301" t="n"/>
      <c r="I137" s="301" t="n"/>
      <c r="J137" s="301" t="n"/>
    </row>
    <row r="138" ht="15" customHeight="1" s="221">
      <c r="A138" s="301" t="n"/>
      <c r="B138" s="301" t="n"/>
      <c r="C138" s="301" t="n"/>
      <c r="D138" s="301" t="n"/>
      <c r="E138" s="328" t="n"/>
      <c r="F138" s="301" t="n"/>
      <c r="G138" s="301" t="n"/>
      <c r="H138" s="301" t="n"/>
      <c r="I138" s="301" t="n"/>
      <c r="J138" s="301" t="n"/>
    </row>
    <row r="139" ht="15" customHeight="1" s="221">
      <c r="A139" s="301" t="n"/>
      <c r="B139" s="301" t="n"/>
      <c r="C139" s="301" t="n"/>
      <c r="D139" s="301" t="n"/>
      <c r="E139" s="301" t="n"/>
      <c r="F139" s="301" t="n"/>
      <c r="G139" s="301" t="n"/>
      <c r="H139" s="301" t="n"/>
      <c r="I139" s="301" t="n"/>
      <c r="J139" s="301" t="n"/>
    </row>
    <row r="140" ht="15" customHeight="1" s="221">
      <c r="A140" s="301" t="n"/>
      <c r="B140" s="301" t="n"/>
      <c r="C140" s="301" t="n"/>
      <c r="D140" s="301" t="n"/>
      <c r="E140" s="301" t="n"/>
      <c r="F140" s="301" t="n"/>
      <c r="G140" s="301" t="n"/>
      <c r="H140" s="301" t="n"/>
      <c r="I140" s="301" t="n"/>
      <c r="J140" s="301" t="n"/>
    </row>
    <row r="141" ht="15" customHeight="1" s="221">
      <c r="A141" s="301" t="n"/>
      <c r="B141" s="301" t="n"/>
      <c r="C141" s="301" t="n"/>
      <c r="D141" s="301" t="n"/>
      <c r="E141" s="301" t="n"/>
      <c r="F141" s="301" t="n"/>
      <c r="G141" s="301" t="n"/>
      <c r="H141" s="301" t="n"/>
      <c r="I141" s="301" t="n"/>
      <c r="J141" s="301" t="n"/>
    </row>
    <row r="142" ht="15" customHeight="1" s="221">
      <c r="A142" s="301" t="n"/>
      <c r="B142" s="301" t="n"/>
      <c r="C142" s="301" t="n"/>
      <c r="D142" s="301" t="n"/>
      <c r="E142" s="301" t="n"/>
      <c r="F142" s="301" t="n"/>
      <c r="G142" s="301" t="n"/>
      <c r="H142" s="301" t="n"/>
      <c r="I142" s="301" t="n"/>
      <c r="J142" s="301" t="n"/>
    </row>
    <row r="143" ht="15" customHeight="1" s="221">
      <c r="A143" s="301" t="n"/>
      <c r="B143" s="301" t="n"/>
      <c r="C143" s="301" t="n"/>
      <c r="D143" s="301" t="n"/>
      <c r="E143" s="301" t="n"/>
      <c r="F143" s="301" t="n"/>
      <c r="G143" s="301" t="n"/>
      <c r="H143" s="301" t="n"/>
      <c r="I143" s="301" t="n"/>
      <c r="J143" s="301" t="n"/>
    </row>
    <row r="144" ht="15" customHeight="1" s="221">
      <c r="A144" s="301" t="n"/>
      <c r="B144" s="301" t="n"/>
      <c r="C144" s="301" t="n"/>
      <c r="D144" s="301" t="n"/>
      <c r="E144" s="301" t="n"/>
      <c r="F144" s="301" t="n"/>
      <c r="G144" s="301" t="n"/>
      <c r="H144" s="301" t="n"/>
      <c r="I144" s="301" t="n"/>
      <c r="J144" s="301" t="n"/>
    </row>
    <row r="145" ht="15" customHeight="1" s="221">
      <c r="A145" s="301" t="n"/>
      <c r="B145" s="301" t="n"/>
      <c r="C145" s="301" t="n"/>
      <c r="D145" s="301" t="n"/>
      <c r="E145" s="301" t="n"/>
      <c r="F145" s="301" t="n"/>
      <c r="G145" s="301" t="n"/>
      <c r="H145" s="301" t="n"/>
      <c r="I145" s="301" t="n"/>
      <c r="J145" s="301" t="n"/>
    </row>
    <row r="146" ht="15" customHeight="1" s="221">
      <c r="A146" s="301" t="n"/>
      <c r="B146" s="301" t="n"/>
      <c r="C146" s="301" t="n"/>
      <c r="D146" s="301" t="n"/>
      <c r="E146" s="301" t="n"/>
      <c r="F146" s="301" t="n"/>
      <c r="G146" s="301" t="n"/>
      <c r="H146" s="301" t="n"/>
      <c r="I146" s="301" t="n"/>
      <c r="J146" s="301" t="n"/>
    </row>
    <row r="147" ht="15" customHeight="1" s="221">
      <c r="A147" s="301" t="n"/>
      <c r="B147" s="301" t="n"/>
      <c r="C147" s="301" t="n"/>
      <c r="D147" s="301" t="n"/>
      <c r="E147" s="301" t="n"/>
      <c r="F147" s="301" t="n"/>
      <c r="G147" s="301" t="n"/>
      <c r="H147" s="301" t="n"/>
      <c r="I147" s="301" t="n"/>
      <c r="J147" s="301" t="n"/>
    </row>
    <row r="148" ht="15" customHeight="1" s="221">
      <c r="A148" s="301" t="n"/>
      <c r="B148" s="301" t="n"/>
      <c r="C148" s="301" t="n"/>
      <c r="D148" s="301" t="n"/>
      <c r="E148" s="301" t="n"/>
      <c r="F148" s="301" t="n"/>
      <c r="G148" s="301" t="n"/>
      <c r="H148" s="301" t="n"/>
      <c r="I148" s="301" t="n"/>
      <c r="J148" s="301" t="n"/>
    </row>
    <row r="149" ht="15" customHeight="1" s="221">
      <c r="A149" s="301" t="n"/>
      <c r="B149" s="301" t="n"/>
      <c r="C149" s="301" t="n"/>
      <c r="D149" s="301" t="n"/>
      <c r="E149" s="301" t="n"/>
      <c r="F149" s="301" t="n"/>
      <c r="G149" s="301" t="n"/>
      <c r="H149" s="301" t="n"/>
      <c r="I149" s="301" t="n"/>
      <c r="J149" s="301" t="n"/>
    </row>
    <row r="150" ht="15" customHeight="1" s="221">
      <c r="A150" s="301" t="n"/>
      <c r="B150" s="301" t="n"/>
      <c r="C150" s="301" t="n"/>
      <c r="D150" s="301" t="n"/>
      <c r="E150" s="301" t="n"/>
      <c r="F150" s="301" t="n"/>
      <c r="G150" s="301" t="n"/>
      <c r="H150" s="301" t="n"/>
      <c r="I150" s="301" t="n"/>
      <c r="J150" s="301" t="n"/>
    </row>
  </sheetData>
  <mergeCells count="3">
    <mergeCell ref="A104:D104"/>
    <mergeCell ref="A106:C106"/>
    <mergeCell ref="A1:H1"/>
  </mergeCells>
  <dataValidations count="2">
    <dataValidation sqref="B4:B103" showDropDown="0" showInputMessage="0" showErrorMessage="0" allowBlank="1" type="list" errorStyle="stop" operator="between">
      <formula1>"Familiar,NeuroTEA"</formula1>
      <formula2>0</formula2>
    </dataValidation>
    <dataValidation sqref="C4:C103" showDropDown="0" showInputMessage="0" showErrorMessage="0" allowBlank="1" type="list" errorStyle="stop" operator="between">
      <formula1>"Combustible,Supermercado,Farmacia,Recreación,Gastos Varios,Reserva Fam 1,Reserva Fam 2,Reserva Fam 3,Insumos NT,Papelería NT,Mantenimiento NT,Festejos NT,Gastos Cursos NT,Gastos Varios NT,Reserva NT 1,Reserva NT 2,Reserva NT 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tabColor rgb="FF2C3E50"/>
    <outlinePr summaryBelow="1" summaryRight="1"/>
    <pageSetUpPr fitToPage="0"/>
  </sheetPr>
  <dimension ref="A1:L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24" customWidth="1" style="220" min="1" max="1"/>
    <col width="12" customWidth="1" style="220" min="2" max="2"/>
    <col width="14" customWidth="1" style="220" min="3" max="4"/>
    <col width="2" customWidth="1" style="220" min="5" max="6"/>
    <col width="24" customWidth="1" style="220" min="7" max="7"/>
    <col width="12" customWidth="1" style="220" min="8" max="8"/>
    <col width="14" customWidth="1" style="220" min="9" max="10"/>
  </cols>
  <sheetData>
    <row r="1" ht="34.5" customHeight="1" s="221">
      <c r="A1" s="340" t="inlineStr">
        <is>
          <t>📊 CONTROL FINANCIERO - JULIO 2026</t>
        </is>
      </c>
      <c r="K1" s="301" t="n"/>
      <c r="L1" s="301" t="n"/>
    </row>
    <row r="2" ht="15" customHeight="1" s="221">
      <c r="A2" s="301" t="n"/>
      <c r="B2" s="301" t="n"/>
      <c r="C2" s="301" t="n"/>
      <c r="D2" s="301" t="n"/>
      <c r="E2" s="301" t="n"/>
      <c r="F2" s="301" t="n"/>
      <c r="G2" s="301" t="n"/>
      <c r="H2" s="301" t="n"/>
      <c r="I2" s="301" t="n"/>
      <c r="J2" s="301" t="n"/>
      <c r="K2" s="301" t="n"/>
      <c r="L2" s="301" t="n"/>
    </row>
    <row r="3" ht="15" customHeight="1" s="221">
      <c r="A3" s="341" t="inlineStr">
        <is>
          <t>TOTAL INGRESOS</t>
        </is>
      </c>
      <c r="C3" s="301" t="n"/>
      <c r="D3" s="342" t="inlineStr">
        <is>
          <t>GASTOS PAGADOS</t>
        </is>
      </c>
      <c r="F3" s="301" t="n"/>
      <c r="G3" s="343" t="inlineStr">
        <is>
          <t>GASTOS PENDIENTES</t>
        </is>
      </c>
      <c r="I3" s="301" t="n"/>
      <c r="J3" s="344" t="inlineStr">
        <is>
          <t>BALANCE</t>
        </is>
      </c>
      <c r="K3" s="301" t="n"/>
      <c r="L3" s="301" t="n"/>
    </row>
    <row r="4" ht="22.5" customHeight="1" s="221">
      <c r="A4" s="345">
        <f>D26+J12</f>
        <v/>
      </c>
      <c r="C4" s="328" t="n"/>
      <c r="D4" s="346">
        <f>D65+I58</f>
        <v/>
      </c>
      <c r="F4" s="301" t="n"/>
      <c r="G4" s="347">
        <f>D66+I59</f>
        <v/>
      </c>
      <c r="I4" s="301" t="n"/>
      <c r="J4" s="348">
        <f>A4-D4-G4</f>
        <v/>
      </c>
      <c r="K4" s="301" t="n"/>
      <c r="L4" s="301" t="n"/>
    </row>
    <row r="5" ht="15" customHeight="1" s="221">
      <c r="A5" s="301" t="n"/>
      <c r="B5" s="301" t="n"/>
      <c r="C5" s="301" t="n"/>
      <c r="D5" s="301" t="n"/>
      <c r="E5" s="301" t="n"/>
      <c r="F5" s="301" t="n"/>
      <c r="G5" s="301" t="n"/>
      <c r="H5" s="301" t="n"/>
      <c r="I5" s="301" t="n"/>
      <c r="J5" s="301" t="n"/>
      <c r="K5" s="301" t="n"/>
      <c r="L5" s="301" t="n"/>
    </row>
    <row r="6" ht="15.75" customHeight="1" s="221">
      <c r="A6" s="349" t="inlineStr">
        <is>
          <t>⚠️ PRÉSTAMO NT → FAMILIA</t>
        </is>
      </c>
      <c r="D6" s="350">
        <f>SUMIF('Ing-Egr Julio 2026'!B4:B103,"Préstamo NT → Familia",'Ing-Egr Julio 2026'!F4:F103)-SUMIF('Ing-Egr Julio 2026'!B4:B103,"Devolución Familia → NT",'Ing-Egr Julio 2026'!E4:E103)</f>
        <v/>
      </c>
      <c r="E6" s="301" t="n"/>
      <c r="F6" s="351" t="inlineStr">
        <is>
          <t>Estado:</t>
        </is>
      </c>
      <c r="G6" s="351">
        <f>IF(D6=0,"🟢 SANO","🔴 FUGA")</f>
        <v/>
      </c>
      <c r="H6" s="301" t="n"/>
      <c r="I6" s="339" t="inlineStr">
        <is>
          <t>(Ideal = 0)</t>
        </is>
      </c>
      <c r="J6" s="301" t="n"/>
      <c r="K6" s="301" t="n"/>
      <c r="L6" s="301" t="n"/>
    </row>
    <row r="7" ht="15" customHeight="1" s="221">
      <c r="A7" s="301" t="n"/>
      <c r="B7" s="301" t="n"/>
      <c r="C7" s="301" t="n"/>
      <c r="D7" s="301" t="n"/>
      <c r="E7" s="301" t="n"/>
      <c r="F7" s="301" t="n"/>
      <c r="G7" s="301" t="n"/>
      <c r="H7" s="301" t="n"/>
      <c r="I7" s="301" t="n"/>
      <c r="J7" s="301" t="n"/>
      <c r="K7" s="301" t="n"/>
      <c r="L7" s="301" t="n"/>
    </row>
    <row r="8" ht="15" customHeight="1" s="221">
      <c r="A8" s="352" t="inlineStr">
        <is>
          <t>💵 INGRESOS FAMILIA</t>
        </is>
      </c>
      <c r="B8" s="256" t="n"/>
      <c r="C8" s="256" t="n"/>
      <c r="D8" s="353" t="n"/>
      <c r="E8" s="354" t="n"/>
      <c r="F8" s="354" t="n"/>
      <c r="G8" s="355" t="inlineStr">
        <is>
          <t>💵 INGRESOS NEUROTEA</t>
        </is>
      </c>
      <c r="H8" s="256" t="n"/>
      <c r="I8" s="256" t="n"/>
      <c r="J8" s="353" t="n"/>
      <c r="K8" s="301" t="n"/>
      <c r="L8" s="301" t="n"/>
    </row>
    <row r="9" ht="15" customHeight="1" s="221">
      <c r="A9" s="356" t="inlineStr">
        <is>
          <t>MARCO ITAIPU</t>
        </is>
      </c>
      <c r="B9" s="353" t="n"/>
      <c r="C9" s="357" t="inlineStr">
        <is>
          <t>Fecha</t>
        </is>
      </c>
      <c r="D9" s="358" t="inlineStr">
        <is>
          <t>Monto</t>
        </is>
      </c>
      <c r="E9" s="359" t="n"/>
      <c r="F9" s="360" t="n"/>
      <c r="G9" s="361" t="inlineStr">
        <is>
          <t>Ingreso del Mes</t>
        </is>
      </c>
      <c r="H9" s="256" t="n"/>
      <c r="I9" s="353" t="n"/>
      <c r="J9" s="362" t="inlineStr">
        <is>
          <t>Monto</t>
        </is>
      </c>
      <c r="K9" s="301" t="n"/>
      <c r="L9" s="301" t="n"/>
    </row>
    <row r="10" ht="15" customHeight="1" s="221">
      <c r="A10" s="363" t="inlineStr">
        <is>
          <t>Salario Mensual</t>
        </is>
      </c>
      <c r="B10" s="364" t="n"/>
      <c r="C10" s="365" t="n"/>
      <c r="D10" s="366">
        <f>SUMIFS('Ing-Egr Julio 2026'!E4:E103,'Ing-Egr Julio 2026'!B4:B103,"Ingreso Marco",'Ing-Egr Julio 2026'!C4:C103,A10)</f>
        <v/>
      </c>
      <c r="E10" s="359" t="n"/>
      <c r="F10" s="360" t="n"/>
      <c r="G10" s="367" t="inlineStr">
        <is>
          <t>(Suma desde pestaña Ing-Egr Julio)</t>
        </is>
      </c>
      <c r="H10" s="256" t="n"/>
      <c r="I10" s="353" t="n"/>
      <c r="J10" s="368">
        <f>SUMIF('Ing-Egr Julio 2026'!B4:B103,"Ingreso NT",'Ing-Egr Julio 2026'!E4:E103)</f>
        <v/>
      </c>
      <c r="K10" s="301" t="n"/>
      <c r="L10" s="301" t="n"/>
    </row>
    <row r="11" ht="15" customHeight="1" s="221">
      <c r="A11" s="369" t="inlineStr">
        <is>
          <t>Vacaciones</t>
        </is>
      </c>
      <c r="B11" s="370" t="n"/>
      <c r="C11" s="371" t="n"/>
      <c r="D11" s="366">
        <f>SUMIFS('Ing-Egr Julio 2026'!E4:E103,'Ing-Egr Julio 2026'!B4:B103,"Ingreso Marco",'Ing-Egr Julio 2026'!C4:C103,A11)</f>
        <v/>
      </c>
      <c r="E11" s="359" t="n"/>
      <c r="F11" s="360" t="n"/>
      <c r="G11" s="359" t="n"/>
      <c r="H11" s="301" t="n"/>
      <c r="I11" s="301" t="n"/>
      <c r="J11" s="301" t="n"/>
      <c r="K11" s="301" t="n"/>
      <c r="L11" s="301" t="n"/>
    </row>
    <row r="12" ht="15" customHeight="1" s="221">
      <c r="A12" s="363" t="inlineStr">
        <is>
          <t>Aguinaldo</t>
        </is>
      </c>
      <c r="B12" s="364" t="n"/>
      <c r="C12" s="365" t="n"/>
      <c r="D12" s="366">
        <f>SUMIFS('Ing-Egr Julio 2026'!E4:E103,'Ing-Egr Julio 2026'!B4:B103,"Ingreso Marco",'Ing-Egr Julio 2026'!C4:C103,A12)</f>
        <v/>
      </c>
      <c r="E12" s="359" t="n"/>
      <c r="F12" s="360" t="n"/>
      <c r="G12" s="372" t="inlineStr">
        <is>
          <t>═══ TOTAL INGRESOS NT ═══</t>
        </is>
      </c>
      <c r="H12" s="256" t="n"/>
      <c r="I12" s="353" t="n"/>
      <c r="J12" s="373">
        <f>J10</f>
        <v/>
      </c>
      <c r="K12" s="301" t="n"/>
      <c r="L12" s="301" t="n"/>
    </row>
    <row r="13" ht="15" customHeight="1" s="221">
      <c r="A13" s="369" t="inlineStr">
        <is>
          <t>Viático</t>
        </is>
      </c>
      <c r="B13" s="370" t="n"/>
      <c r="C13" s="371" t="n"/>
      <c r="D13" s="366">
        <f>SUMIFS('Ing-Egr Julio 2026'!E4:E103,'Ing-Egr Julio 2026'!B4:B103,"Ingreso Marco",'Ing-Egr Julio 2026'!C4:C103,A13)</f>
        <v/>
      </c>
      <c r="E13" s="359" t="n"/>
      <c r="F13" s="360" t="n"/>
      <c r="G13" s="359" t="n"/>
      <c r="H13" s="301" t="n"/>
      <c r="I13" s="301" t="n"/>
      <c r="J13" s="301" t="n"/>
      <c r="K13" s="301" t="n"/>
      <c r="L13" s="301" t="n"/>
    </row>
    <row r="14" ht="15" customHeight="1" s="221">
      <c r="A14" s="363" t="inlineStr">
        <is>
          <t>Animador Bíblico</t>
        </is>
      </c>
      <c r="B14" s="364" t="n"/>
      <c r="C14" s="365" t="n"/>
      <c r="D14" s="366">
        <f>SUMIFS('Ing-Egr Julio 2026'!E4:E103,'Ing-Egr Julio 2026'!B4:B103,"Ingreso Marco",'Ing-Egr Julio 2026'!C4:C103,A14)</f>
        <v/>
      </c>
      <c r="E14" s="359" t="n"/>
      <c r="F14" s="360" t="n"/>
      <c r="G14" s="359" t="n"/>
      <c r="H14" s="301" t="n"/>
      <c r="I14" s="301" t="n"/>
      <c r="J14" s="301" t="n"/>
      <c r="K14" s="301" t="n"/>
      <c r="L14" s="301" t="n"/>
    </row>
    <row r="15" ht="15" customHeight="1" s="221">
      <c r="A15" s="369" t="inlineStr">
        <is>
          <t>Otros Ocasionales</t>
        </is>
      </c>
      <c r="B15" s="370" t="n"/>
      <c r="C15" s="371" t="n"/>
      <c r="D15" s="366">
        <f>SUMIFS('Ing-Egr Julio 2026'!E4:E103,'Ing-Egr Julio 2026'!B4:B103,"Ingreso Marco",'Ing-Egr Julio 2026'!C4:C103,A15)</f>
        <v/>
      </c>
      <c r="E15" s="359" t="n"/>
      <c r="F15" s="360" t="n"/>
      <c r="G15" s="359" t="n"/>
      <c r="H15" s="301" t="n"/>
      <c r="I15" s="374">
        <f>J12</f>
        <v/>
      </c>
      <c r="J15" s="301" t="n"/>
      <c r="K15" s="301" t="n"/>
      <c r="L15" s="301" t="n"/>
    </row>
    <row r="16" ht="15" customHeight="1" s="221">
      <c r="A16" s="375" t="inlineStr">
        <is>
          <t>TOTAL MARCO</t>
        </is>
      </c>
      <c r="B16" s="360" t="n"/>
      <c r="C16" s="359" t="n"/>
      <c r="D16" s="376">
        <f>SUM(D10:D15)</f>
        <v/>
      </c>
      <c r="E16" s="359" t="n"/>
      <c r="F16" s="360" t="n"/>
      <c r="G16" s="359" t="n"/>
      <c r="H16" s="301" t="n"/>
      <c r="I16" s="301" t="n"/>
      <c r="J16" s="301" t="n"/>
      <c r="K16" s="301" t="n"/>
      <c r="L16" s="301" t="n"/>
    </row>
    <row r="17" ht="15" customHeight="1" s="221">
      <c r="A17" s="377" t="inlineStr">
        <is>
          <t>CLARA</t>
        </is>
      </c>
      <c r="B17" s="353" t="n"/>
      <c r="C17" s="378" t="inlineStr">
        <is>
          <t>Fecha</t>
        </is>
      </c>
      <c r="D17" s="379" t="inlineStr">
        <is>
          <t>Monto</t>
        </is>
      </c>
      <c r="E17" s="359" t="n"/>
      <c r="F17" s="360" t="n"/>
      <c r="G17" s="359" t="n"/>
      <c r="H17" s="301" t="n"/>
      <c r="I17" s="301" t="n"/>
      <c r="J17" s="301" t="n"/>
      <c r="K17" s="301" t="n"/>
      <c r="L17" s="301" t="n"/>
    </row>
    <row r="18" ht="15" customHeight="1" s="221">
      <c r="A18" s="380" t="inlineStr">
        <is>
          <t>Honorarios Diarios</t>
        </is>
      </c>
      <c r="B18" s="381" t="n"/>
      <c r="C18" s="382" t="n"/>
      <c r="D18" s="383">
        <f>SUMIF('Ing-Egr Julio 2026'!B4:B103,"Ingreso Clara",'Ing-Egr Julio 2026'!E4:E103)</f>
        <v/>
      </c>
      <c r="E18" s="359" t="n"/>
      <c r="F18" s="360" t="n"/>
      <c r="G18" s="359" t="n"/>
      <c r="H18" s="301" t="n"/>
      <c r="I18" s="301" t="n"/>
      <c r="J18" s="301" t="n"/>
      <c r="K18" s="301" t="n"/>
      <c r="L18" s="301" t="n"/>
    </row>
    <row r="19" ht="15" customHeight="1" s="221">
      <c r="A19" s="384" t="inlineStr">
        <is>
          <t>TOTAL CLARA</t>
        </is>
      </c>
      <c r="B19" s="301" t="n"/>
      <c r="C19" s="301" t="n"/>
      <c r="D19" s="385">
        <f>D18</f>
        <v/>
      </c>
      <c r="E19" s="359" t="n"/>
      <c r="F19" s="360" t="n"/>
      <c r="G19" s="359" t="n"/>
      <c r="H19" s="301" t="n"/>
      <c r="I19" s="301" t="n"/>
      <c r="J19" s="301" t="n"/>
      <c r="K19" s="301" t="n"/>
      <c r="L19" s="301" t="n"/>
    </row>
    <row r="20" ht="15" customHeight="1" s="221">
      <c r="A20" s="386" t="inlineStr">
        <is>
          <t>DESDE NEUROTEA</t>
        </is>
      </c>
      <c r="D20" s="387" t="inlineStr">
        <is>
          <t>Monto</t>
        </is>
      </c>
      <c r="E20" s="359" t="n"/>
      <c r="F20" s="360" t="n"/>
      <c r="G20" s="359" t="n"/>
      <c r="H20" s="301" t="n"/>
      <c r="I20" s="301" t="n"/>
      <c r="J20" s="301" t="n"/>
      <c r="K20" s="301" t="n"/>
      <c r="L20" s="301" t="n"/>
    </row>
    <row r="21" ht="15" customHeight="1" s="221">
      <c r="A21" s="388" t="inlineStr">
        <is>
          <t>Salario Admin Marco</t>
        </is>
      </c>
      <c r="B21" s="388" t="n"/>
      <c r="C21" s="388" t="n"/>
      <c r="D21" s="389" t="n">
        <v>0</v>
      </c>
      <c r="E21" s="359" t="n"/>
      <c r="F21" s="360" t="n"/>
      <c r="G21" s="359" t="n"/>
      <c r="H21" s="301" t="n"/>
      <c r="I21" s="301" t="n"/>
      <c r="J21" s="301" t="n"/>
      <c r="K21" s="301" t="n"/>
      <c r="L21" s="301" t="n"/>
    </row>
    <row r="22" ht="15" customHeight="1" s="221">
      <c r="A22" s="390" t="inlineStr">
        <is>
          <t>Ganancia NT → Familia</t>
        </is>
      </c>
      <c r="B22" s="390" t="n"/>
      <c r="C22" s="390" t="n"/>
      <c r="D22" s="391" t="n">
        <v>0</v>
      </c>
      <c r="E22" s="359" t="n"/>
      <c r="F22" s="360" t="n"/>
      <c r="G22" s="359" t="n"/>
      <c r="H22" s="301" t="n"/>
      <c r="I22" s="301" t="n"/>
      <c r="J22" s="301" t="n"/>
      <c r="K22" s="301" t="n"/>
      <c r="L22" s="301" t="n"/>
    </row>
    <row r="23" ht="15" customHeight="1" s="221">
      <c r="A23" s="388" t="inlineStr">
        <is>
          <t>Préstamo NT (automático)</t>
        </is>
      </c>
      <c r="B23" s="388" t="n"/>
      <c r="C23" s="388" t="n"/>
      <c r="D23" s="389">
        <f>D6</f>
        <v/>
      </c>
      <c r="E23" s="359" t="n"/>
      <c r="F23" s="360" t="n"/>
      <c r="G23" s="359" t="n"/>
      <c r="H23" s="301" t="n"/>
      <c r="I23" s="301" t="n"/>
      <c r="J23" s="301" t="n"/>
      <c r="K23" s="301" t="n"/>
      <c r="L23" s="301" t="n"/>
    </row>
    <row r="24" ht="15" customHeight="1" s="221">
      <c r="A24" s="392" t="inlineStr">
        <is>
          <t>TOTAL DESDE NT</t>
        </is>
      </c>
      <c r="B24" s="301" t="n"/>
      <c r="C24" s="301" t="n"/>
      <c r="D24" s="393">
        <f>SUM(D21:D23)</f>
        <v/>
      </c>
      <c r="E24" s="359" t="n"/>
      <c r="F24" s="360" t="n"/>
      <c r="G24" s="359" t="n"/>
      <c r="H24" s="301" t="n"/>
      <c r="I24" s="301" t="n"/>
      <c r="J24" s="301" t="n"/>
      <c r="K24" s="301" t="n"/>
      <c r="L24" s="301" t="n"/>
    </row>
    <row r="25" ht="15" customHeight="1" s="221">
      <c r="A25" s="301" t="n"/>
      <c r="B25" s="301" t="n"/>
      <c r="C25" s="301" t="n"/>
      <c r="D25" s="360" t="n"/>
      <c r="E25" s="359" t="n"/>
      <c r="F25" s="360" t="n"/>
      <c r="G25" s="359" t="n"/>
      <c r="H25" s="301" t="n"/>
      <c r="I25" s="301" t="n"/>
      <c r="J25" s="301" t="n"/>
      <c r="K25" s="301" t="n"/>
      <c r="L25" s="301" t="n"/>
    </row>
    <row r="26" ht="15" customHeight="1" s="221">
      <c r="A26" s="223" t="inlineStr">
        <is>
          <t>═══ TOTAL INGRESOS FAMILIA ═══</t>
        </is>
      </c>
      <c r="D26" s="394">
        <f>D16+D19+D24</f>
        <v/>
      </c>
      <c r="E26" s="359" t="n"/>
      <c r="F26" s="360" t="n"/>
      <c r="G26" s="359" t="n"/>
      <c r="H26" s="301" t="n"/>
      <c r="I26" s="301" t="n"/>
      <c r="J26" s="301" t="n"/>
      <c r="K26" s="301" t="n"/>
      <c r="L26" s="301" t="n"/>
    </row>
    <row r="27" ht="15" customHeight="1" s="221">
      <c r="A27" s="301" t="n"/>
      <c r="B27" s="301" t="n"/>
      <c r="C27" s="301" t="n"/>
      <c r="D27" s="360" t="n"/>
      <c r="E27" s="359" t="n"/>
      <c r="F27" s="360" t="n"/>
      <c r="G27" s="359" t="n"/>
      <c r="H27" s="301" t="n"/>
      <c r="I27" s="301" t="n"/>
      <c r="J27" s="301" t="n"/>
      <c r="K27" s="301" t="n"/>
      <c r="L27" s="301" t="n"/>
    </row>
    <row r="28" ht="15.75" customHeight="1" s="221">
      <c r="A28" s="395" t="inlineStr">
        <is>
          <t>📉 GASTOS FAMILIARES</t>
        </is>
      </c>
      <c r="E28" s="328" t="n"/>
      <c r="F28" s="301" t="n"/>
      <c r="G28" s="396" t="inlineStr">
        <is>
          <t>📉 GASTOS NEUROTEA</t>
        </is>
      </c>
      <c r="K28" s="301" t="n"/>
      <c r="L28" s="301" t="n"/>
    </row>
    <row r="29" ht="15" customHeight="1" s="221">
      <c r="A29" s="397" t="inlineStr">
        <is>
          <t>Detalle</t>
        </is>
      </c>
      <c r="B29" s="397" t="inlineStr">
        <is>
          <t>Estado</t>
        </is>
      </c>
      <c r="C29" s="397" t="inlineStr">
        <is>
          <t>Monto</t>
        </is>
      </c>
      <c r="D29" s="397" t="inlineStr">
        <is>
          <t>Venc.</t>
        </is>
      </c>
      <c r="E29" s="301" t="n"/>
      <c r="F29" s="301" t="n"/>
      <c r="G29" s="398" t="inlineStr">
        <is>
          <t>Detalle</t>
        </is>
      </c>
      <c r="H29" s="398" t="inlineStr">
        <is>
          <t>Estado</t>
        </is>
      </c>
      <c r="I29" s="398" t="inlineStr">
        <is>
          <t>Monto</t>
        </is>
      </c>
      <c r="J29" s="398" t="inlineStr">
        <is>
          <t>Venc.</t>
        </is>
      </c>
      <c r="K29" s="301" t="n"/>
      <c r="L29" s="301" t="n"/>
    </row>
    <row r="30" ht="15.75" customHeight="1" s="221">
      <c r="A30" s="399" t="inlineStr">
        <is>
          <t>► GASTOS FIJOS ✏️</t>
        </is>
      </c>
      <c r="E30" s="301" t="n"/>
      <c r="F30" s="301" t="n"/>
      <c r="G30" s="400" t="inlineStr">
        <is>
          <t>► GASTOS FIJOS ✏️</t>
        </is>
      </c>
      <c r="K30" s="301" t="n"/>
      <c r="L30" s="301" t="n"/>
    </row>
    <row r="31" ht="15" customHeight="1" s="221">
      <c r="A31" s="401" t="inlineStr">
        <is>
          <t>Salario Lili Doméstico</t>
        </is>
      </c>
      <c r="B31" s="401" t="inlineStr">
        <is>
          <t>Ninguno</t>
        </is>
      </c>
      <c r="C31" s="402" t="n"/>
      <c r="D31" s="458" t="n"/>
      <c r="E31" s="301" t="n"/>
      <c r="F31" s="301" t="n"/>
      <c r="G31" s="403" t="inlineStr">
        <is>
          <t>Alquiler 1 (Principal)</t>
        </is>
      </c>
      <c r="H31" s="403" t="inlineStr">
        <is>
          <t>Ninguno</t>
        </is>
      </c>
      <c r="I31" s="404" t="n">
        <v>0</v>
      </c>
      <c r="J31" s="459" t="n"/>
      <c r="K31" s="301" t="n"/>
      <c r="L31" s="301" t="n"/>
    </row>
    <row r="32" ht="15" customHeight="1" s="221">
      <c r="A32" s="405" t="inlineStr">
        <is>
          <t>Salario Laura Doméstico</t>
        </is>
      </c>
      <c r="B32" s="405" t="inlineStr">
        <is>
          <t>Ninguno</t>
        </is>
      </c>
      <c r="C32" s="406" t="n"/>
      <c r="D32" s="460" t="n"/>
      <c r="E32" s="301" t="n"/>
      <c r="F32" s="301" t="n"/>
      <c r="G32" s="407" t="inlineStr">
        <is>
          <t>Alquiler 2 (Secundario)</t>
        </is>
      </c>
      <c r="H32" s="407" t="inlineStr">
        <is>
          <t>Ninguno</t>
        </is>
      </c>
      <c r="I32" s="408" t="n">
        <v>0</v>
      </c>
      <c r="J32" s="461" t="n"/>
      <c r="K32" s="301" t="n"/>
      <c r="L32" s="301" t="n"/>
    </row>
    <row r="33" ht="15" customHeight="1" s="221">
      <c r="A33" s="401" t="inlineStr">
        <is>
          <t>Escuela Fabián y Brenda</t>
        </is>
      </c>
      <c r="B33" s="401" t="inlineStr">
        <is>
          <t>Ninguno</t>
        </is>
      </c>
      <c r="C33" s="402" t="n"/>
      <c r="D33" s="458" t="n"/>
      <c r="E33" s="301" t="n"/>
      <c r="F33" s="301" t="n"/>
      <c r="G33" s="403" t="inlineStr">
        <is>
          <t>Limpieza NeuroTEA</t>
        </is>
      </c>
      <c r="H33" s="403" t="inlineStr">
        <is>
          <t>Ninguno</t>
        </is>
      </c>
      <c r="I33" s="404" t="n">
        <v>0</v>
      </c>
      <c r="J33" s="459" t="n"/>
      <c r="K33" s="301" t="n"/>
      <c r="L33" s="301" t="n"/>
    </row>
    <row r="34" ht="15" customHeight="1" s="221">
      <c r="A34" s="405" t="inlineStr">
        <is>
          <t>Robótica Niños</t>
        </is>
      </c>
      <c r="B34" s="405" t="inlineStr">
        <is>
          <t>Ninguno</t>
        </is>
      </c>
      <c r="C34" s="406" t="n"/>
      <c r="D34" s="460" t="n"/>
      <c r="E34" s="301" t="n"/>
      <c r="F34" s="301" t="n"/>
      <c r="G34" s="400" t="inlineStr">
        <is>
          <t>► SUELDOS Y HONORARIOS ✏️</t>
        </is>
      </c>
      <c r="K34" s="301" t="n"/>
      <c r="L34" s="301" t="n"/>
    </row>
    <row r="35" ht="15" customHeight="1" s="221">
      <c r="A35" s="410" t="inlineStr">
        <is>
          <t>ANDE Casa</t>
        </is>
      </c>
      <c r="B35" s="410" t="inlineStr">
        <is>
          <t>Ninguno</t>
        </is>
      </c>
      <c r="C35" s="411" t="n"/>
      <c r="D35" s="463" t="n"/>
      <c r="E35" s="301" t="n"/>
      <c r="F35" s="301" t="n"/>
      <c r="G35" s="403" t="inlineStr">
        <is>
          <t>Sueldo Aracely</t>
        </is>
      </c>
      <c r="H35" s="403" t="inlineStr">
        <is>
          <t>Ninguno</t>
        </is>
      </c>
      <c r="I35" s="404" t="n">
        <v>0</v>
      </c>
      <c r="J35" s="459" t="n"/>
      <c r="K35" s="301" t="n"/>
      <c r="L35" s="301" t="n"/>
    </row>
    <row r="36" ht="15" customHeight="1" s="221">
      <c r="A36" s="405" t="inlineStr">
        <is>
          <t>Expensa Casa</t>
        </is>
      </c>
      <c r="B36" s="405" t="inlineStr">
        <is>
          <t>Ninguno</t>
        </is>
      </c>
      <c r="C36" s="406" t="n"/>
      <c r="D36" s="460" t="n"/>
      <c r="E36" s="301" t="n"/>
      <c r="F36" s="301" t="n"/>
      <c r="G36" s="407" t="inlineStr">
        <is>
          <t>Sueldo Fátima</t>
        </is>
      </c>
      <c r="H36" s="407" t="inlineStr">
        <is>
          <t>Ninguno</t>
        </is>
      </c>
      <c r="I36" s="408" t="n">
        <v>0</v>
      </c>
      <c r="J36" s="461" t="n"/>
      <c r="K36" s="301" t="n"/>
      <c r="L36" s="301" t="n"/>
    </row>
    <row r="37" ht="15" customHeight="1" s="221">
      <c r="A37" s="410" t="inlineStr">
        <is>
          <t>Cajubi Marco</t>
        </is>
      </c>
      <c r="B37" s="410" t="inlineStr">
        <is>
          <t>Ninguno</t>
        </is>
      </c>
      <c r="C37" s="411" t="n"/>
      <c r="D37" s="463" t="n"/>
      <c r="E37" s="301" t="n"/>
      <c r="F37" s="301" t="n"/>
      <c r="G37" s="403" t="inlineStr">
        <is>
          <t>Honorario Contador</t>
        </is>
      </c>
      <c r="H37" s="403" t="inlineStr">
        <is>
          <t>Ninguno</t>
        </is>
      </c>
      <c r="I37" s="404" t="n">
        <v>0</v>
      </c>
      <c r="J37" s="459" t="n"/>
      <c r="K37" s="301" t="n"/>
      <c r="L37" s="301" t="n"/>
    </row>
    <row r="38" ht="15" customHeight="1" s="221">
      <c r="A38" s="405" t="inlineStr">
        <is>
          <t>Mutual Marco</t>
        </is>
      </c>
      <c r="B38" s="405" t="inlineStr">
        <is>
          <t>Ninguno</t>
        </is>
      </c>
      <c r="C38" s="406" t="n"/>
      <c r="D38" s="460" t="n"/>
      <c r="E38" s="301" t="n"/>
      <c r="F38" s="301" t="n"/>
      <c r="G38" s="407" t="inlineStr">
        <is>
          <t>Salario Administrador</t>
        </is>
      </c>
      <c r="H38" s="407" t="inlineStr">
        <is>
          <t>Ninguno</t>
        </is>
      </c>
      <c r="I38" s="408" t="n">
        <v>0</v>
      </c>
      <c r="J38" s="461" t="n"/>
      <c r="K38" s="301" t="n"/>
      <c r="L38" s="301" t="n"/>
    </row>
    <row r="39" ht="15" customHeight="1" s="221">
      <c r="A39" s="410" t="inlineStr">
        <is>
          <t>Ña Luisa</t>
        </is>
      </c>
      <c r="B39" s="410" t="inlineStr">
        <is>
          <t>Ninguno</t>
        </is>
      </c>
      <c r="C39" s="411" t="n"/>
      <c r="D39" s="463" t="n"/>
      <c r="E39" s="301" t="n"/>
      <c r="F39" s="301" t="n"/>
      <c r="G39" s="403" t="inlineStr">
        <is>
          <t>Honorario Mant. Sistema</t>
        </is>
      </c>
      <c r="H39" s="403" t="inlineStr">
        <is>
          <t>Ninguno</t>
        </is>
      </c>
      <c r="I39" s="404" t="n">
        <v>0</v>
      </c>
      <c r="J39" s="459" t="n"/>
      <c r="K39" s="301" t="n"/>
      <c r="L39" s="301" t="n"/>
    </row>
    <row r="40" ht="15" customHeight="1" s="221">
      <c r="A40" s="405" t="inlineStr">
        <is>
          <t>Seguro Médico Papá y Mamá</t>
        </is>
      </c>
      <c r="B40" s="405" t="inlineStr">
        <is>
          <t>Ninguno</t>
        </is>
      </c>
      <c r="C40" s="406" t="n"/>
      <c r="D40" s="460" t="n"/>
      <c r="E40" s="301" t="n"/>
      <c r="F40" s="301" t="n"/>
      <c r="G40" s="400" t="inlineStr">
        <is>
          <t>► TELEFONÍA E INTERNET ✏️</t>
        </is>
      </c>
      <c r="K40" s="301" t="n"/>
      <c r="L40" s="301" t="n"/>
    </row>
    <row r="41" ht="15" customHeight="1" s="221">
      <c r="A41" s="413" t="inlineStr">
        <is>
          <t>► CUOTAS Y PRÉSTAMOS ✏️</t>
        </is>
      </c>
      <c r="B41" s="256" t="n"/>
      <c r="C41" s="256" t="n"/>
      <c r="D41" s="353" t="n"/>
      <c r="E41" s="301" t="n"/>
      <c r="F41" s="301" t="n"/>
      <c r="G41" s="403" t="inlineStr">
        <is>
          <t>Celular Tigo NeuroTEA</t>
        </is>
      </c>
      <c r="H41" s="403" t="inlineStr">
        <is>
          <t>Ninguno</t>
        </is>
      </c>
      <c r="I41" s="404" t="n">
        <v>0</v>
      </c>
      <c r="J41" s="459" t="n"/>
      <c r="K41" s="301" t="n"/>
      <c r="L41" s="301" t="n"/>
    </row>
    <row r="42" ht="15" customHeight="1" s="221">
      <c r="A42" s="410" t="inlineStr">
        <is>
          <t>Auto Laura Cuota</t>
        </is>
      </c>
      <c r="B42" s="410" t="inlineStr">
        <is>
          <t>Ninguno</t>
        </is>
      </c>
      <c r="C42" s="411" t="n"/>
      <c r="D42" s="463" t="n"/>
      <c r="E42" s="301" t="n"/>
      <c r="F42" s="301" t="n"/>
      <c r="G42" s="407" t="inlineStr">
        <is>
          <t>Celular Tigo Sistema</t>
        </is>
      </c>
      <c r="H42" s="407" t="inlineStr">
        <is>
          <t>Ninguno</t>
        </is>
      </c>
      <c r="I42" s="408" t="n">
        <v>0</v>
      </c>
      <c r="J42" s="461" t="n"/>
      <c r="K42" s="301" t="n"/>
      <c r="L42" s="301" t="n"/>
    </row>
    <row r="43" ht="15" customHeight="1" s="221">
      <c r="A43" s="405" t="inlineStr">
        <is>
          <t>Coop. Universitaria Clara</t>
        </is>
      </c>
      <c r="B43" s="405" t="inlineStr">
        <is>
          <t>Ninguno</t>
        </is>
      </c>
      <c r="C43" s="406" t="n"/>
      <c r="D43" s="460" t="n"/>
      <c r="E43" s="301" t="n"/>
      <c r="F43" s="301" t="n"/>
      <c r="G43" s="403" t="inlineStr">
        <is>
          <t>WhatsFlow</t>
        </is>
      </c>
      <c r="H43" s="403" t="inlineStr">
        <is>
          <t>Ninguno</t>
        </is>
      </c>
      <c r="I43" s="404" t="n">
        <v>0</v>
      </c>
      <c r="J43" s="459" t="n"/>
      <c r="K43" s="301" t="n"/>
      <c r="L43" s="301" t="n"/>
    </row>
    <row r="44" ht="15" customHeight="1" s="221">
      <c r="A44" s="410" t="inlineStr">
        <is>
          <t>Coomecipar Clara</t>
        </is>
      </c>
      <c r="B44" s="410" t="inlineStr">
        <is>
          <t>Ninguno</t>
        </is>
      </c>
      <c r="C44" s="411" t="n"/>
      <c r="D44" s="463" t="n"/>
      <c r="E44" s="301" t="n"/>
      <c r="F44" s="301" t="n"/>
      <c r="G44" s="407" t="inlineStr">
        <is>
          <t>Internet NeuroTEA</t>
        </is>
      </c>
      <c r="H44" s="407" t="inlineStr">
        <is>
          <t>Ninguno</t>
        </is>
      </c>
      <c r="I44" s="408" t="n">
        <v>0</v>
      </c>
      <c r="J44" s="461" t="n"/>
      <c r="K44" s="301" t="n"/>
      <c r="L44" s="301" t="n"/>
    </row>
    <row r="45" ht="15" customHeight="1" s="221">
      <c r="A45" s="414" t="inlineStr">
        <is>
          <t>Tarjeta Cred. Coomecipar</t>
        </is>
      </c>
      <c r="B45" s="414" t="inlineStr">
        <is>
          <t>Ninguno</t>
        </is>
      </c>
      <c r="C45" s="415" t="n"/>
      <c r="D45" s="465" t="n"/>
      <c r="E45" s="301" t="n"/>
      <c r="F45" s="301" t="n"/>
      <c r="G45" s="400" t="inlineStr">
        <is>
          <t>► IMPUESTOS ✏️</t>
        </is>
      </c>
      <c r="K45" s="301" t="n"/>
      <c r="L45" s="301" t="n"/>
    </row>
    <row r="46" ht="15" customHeight="1" s="221">
      <c r="A46" s="401" t="inlineStr">
        <is>
          <t>Solar Préstamo 1</t>
        </is>
      </c>
      <c r="B46" s="401" t="inlineStr">
        <is>
          <t>Ninguno</t>
        </is>
      </c>
      <c r="C46" s="402" t="n"/>
      <c r="D46" s="458" t="n"/>
      <c r="E46" s="301" t="n"/>
      <c r="F46" s="301" t="n"/>
      <c r="G46" s="403" t="inlineStr">
        <is>
          <t>IVA</t>
        </is>
      </c>
      <c r="H46" s="403" t="inlineStr">
        <is>
          <t>Ninguno</t>
        </is>
      </c>
      <c r="I46" s="404" t="n">
        <v>0</v>
      </c>
      <c r="J46" s="459" t="n"/>
      <c r="K46" s="301" t="n"/>
      <c r="L46" s="301" t="n"/>
    </row>
    <row r="47" ht="15" customHeight="1" s="221">
      <c r="A47" s="405" t="inlineStr">
        <is>
          <t>Solar Préstamo 2</t>
        </is>
      </c>
      <c r="B47" s="405" t="inlineStr">
        <is>
          <t>Ninguno</t>
        </is>
      </c>
      <c r="C47" s="406" t="n"/>
      <c r="D47" s="460" t="n"/>
      <c r="E47" s="301" t="n"/>
      <c r="F47" s="301" t="n"/>
      <c r="G47" s="400" t="inlineStr">
        <is>
          <t>► EVENTOS NT ✏️</t>
        </is>
      </c>
      <c r="K47" s="301" t="n"/>
      <c r="L47" s="301" t="n"/>
    </row>
    <row r="48" ht="15" customHeight="1" s="221">
      <c r="A48" s="410" t="inlineStr">
        <is>
          <t>Préstamo Lizzi Sueldos</t>
        </is>
      </c>
      <c r="B48" s="410" t="inlineStr">
        <is>
          <t>Ninguno</t>
        </is>
      </c>
      <c r="C48" s="411" t="n"/>
      <c r="D48" s="463" t="n"/>
      <c r="E48" s="301" t="n"/>
      <c r="F48" s="301" t="n"/>
      <c r="G48" s="403" t="inlineStr">
        <is>
          <t>Día del Niño NT</t>
        </is>
      </c>
      <c r="H48" s="403" t="inlineStr">
        <is>
          <t>Ninguno</t>
        </is>
      </c>
      <c r="I48" s="404" t="n">
        <v>0</v>
      </c>
      <c r="J48" s="459" t="n"/>
      <c r="K48" s="301" t="n"/>
      <c r="L48" s="301" t="n"/>
    </row>
    <row r="49" ht="15" customHeight="1" s="221">
      <c r="A49" s="405" t="inlineStr">
        <is>
          <t>Show Congelador</t>
        </is>
      </c>
      <c r="B49" s="405" t="inlineStr">
        <is>
          <t>Ninguno</t>
        </is>
      </c>
      <c r="C49" s="406" t="n"/>
      <c r="D49" s="460" t="n"/>
      <c r="E49" s="301" t="n"/>
      <c r="F49" s="301" t="n"/>
      <c r="G49" s="407" t="inlineStr">
        <is>
          <t>San Juan NT</t>
        </is>
      </c>
      <c r="H49" s="407" t="inlineStr">
        <is>
          <t>Ninguno</t>
        </is>
      </c>
      <c r="I49" s="408" t="n">
        <v>0</v>
      </c>
      <c r="J49" s="461" t="n"/>
      <c r="K49" s="301" t="n"/>
      <c r="L49" s="301" t="n"/>
    </row>
    <row r="50" ht="15" customHeight="1" s="221">
      <c r="A50" s="410" t="inlineStr">
        <is>
          <t>Olier Heladera</t>
        </is>
      </c>
      <c r="B50" s="410" t="inlineStr">
        <is>
          <t>Ninguno</t>
        </is>
      </c>
      <c r="C50" s="411" t="n"/>
      <c r="D50" s="463" t="n"/>
      <c r="E50" s="301" t="n"/>
      <c r="F50" s="301" t="n"/>
      <c r="G50" s="403" t="inlineStr">
        <is>
          <t>Día del Autismo NT</t>
        </is>
      </c>
      <c r="H50" s="403" t="inlineStr">
        <is>
          <t>Ninguno</t>
        </is>
      </c>
      <c r="I50" s="404" t="n">
        <v>0</v>
      </c>
      <c r="J50" s="459" t="n"/>
      <c r="K50" s="301" t="n"/>
      <c r="L50" s="301" t="n"/>
    </row>
    <row r="51" ht="15" customHeight="1" s="221">
      <c r="A51" s="413" t="inlineStr">
        <is>
          <t>► SUSCRIPCIONES E INTERNET ✏️</t>
        </is>
      </c>
      <c r="B51" s="256" t="n"/>
      <c r="C51" s="256" t="n"/>
      <c r="D51" s="353" t="n"/>
      <c r="E51" s="301" t="n"/>
      <c r="F51" s="301" t="n"/>
      <c r="G51" s="407" t="inlineStr">
        <is>
          <t>Clausura Padres NT</t>
        </is>
      </c>
      <c r="H51" s="407" t="inlineStr">
        <is>
          <t>Ninguno</t>
        </is>
      </c>
      <c r="I51" s="408" t="n">
        <v>0</v>
      </c>
      <c r="J51" s="461" t="n"/>
      <c r="K51" s="301" t="n"/>
      <c r="L51" s="301" t="n"/>
    </row>
    <row r="52" ht="15" customHeight="1" s="221">
      <c r="A52" s="410" t="inlineStr">
        <is>
          <t>Giganet</t>
        </is>
      </c>
      <c r="B52" s="410" t="inlineStr">
        <is>
          <t>Ninguno</t>
        </is>
      </c>
      <c r="C52" s="411" t="n"/>
      <c r="D52" s="463" t="n"/>
      <c r="E52" s="301" t="n"/>
      <c r="F52" s="301" t="n"/>
      <c r="G52" s="403" t="inlineStr">
        <is>
          <t>Navidad Papá Noel NT</t>
        </is>
      </c>
      <c r="H52" s="403" t="inlineStr">
        <is>
          <t>Ninguno</t>
        </is>
      </c>
      <c r="I52" s="404" t="n">
        <v>0</v>
      </c>
      <c r="J52" s="459" t="n"/>
      <c r="K52" s="301" t="n"/>
      <c r="L52" s="301" t="n"/>
    </row>
    <row r="53" ht="15" customHeight="1" s="221">
      <c r="A53" s="405" t="inlineStr">
        <is>
          <t>Tigo Internet/Celulares</t>
        </is>
      </c>
      <c r="B53" s="405" t="inlineStr">
        <is>
          <t>Ninguno</t>
        </is>
      </c>
      <c r="C53" s="406" t="n"/>
      <c r="D53" s="460" t="n"/>
      <c r="E53" s="301" t="n"/>
      <c r="F53" s="301" t="n"/>
      <c r="G53" s="407" t="inlineStr">
        <is>
          <t>Cena Fin de Año NT</t>
        </is>
      </c>
      <c r="H53" s="407" t="inlineStr">
        <is>
          <t>Ninguno</t>
        </is>
      </c>
      <c r="I53" s="408" t="n">
        <v>0</v>
      </c>
      <c r="J53" s="461" t="n"/>
      <c r="K53" s="301" t="n"/>
      <c r="L53" s="301" t="n"/>
    </row>
    <row r="54" ht="15" customHeight="1" s="221">
      <c r="A54" s="410" t="inlineStr">
        <is>
          <t>Tigo Familiar</t>
        </is>
      </c>
      <c r="B54" s="410" t="inlineStr">
        <is>
          <t>Ninguno</t>
        </is>
      </c>
      <c r="C54" s="411" t="n"/>
      <c r="D54" s="463" t="n"/>
      <c r="E54" s="301" t="n"/>
      <c r="F54" s="301" t="n"/>
      <c r="G54" s="400" t="inlineStr">
        <is>
          <t>► GASTOS VARIABLES NT 🔗</t>
        </is>
      </c>
      <c r="K54" s="301" t="n"/>
      <c r="L54" s="301" t="n"/>
    </row>
    <row r="55" ht="15" customHeight="1" s="221">
      <c r="A55" s="405" t="inlineStr">
        <is>
          <t>Google One</t>
        </is>
      </c>
      <c r="B55" s="405" t="inlineStr">
        <is>
          <t>Ninguno</t>
        </is>
      </c>
      <c r="C55" s="406" t="n"/>
      <c r="D55" s="460" t="n"/>
      <c r="E55" s="301" t="n"/>
      <c r="F55" s="301" t="n"/>
      <c r="G55" s="403" t="inlineStr">
        <is>
          <t>Insumos NT</t>
        </is>
      </c>
      <c r="H55" s="403" t="inlineStr">
        <is>
          <t>Ninguno</t>
        </is>
      </c>
      <c r="I55" s="404">
        <f>SUMIFS('Ing-Egr Julio 2026'!F4:F103,'Ing-Egr Julio 2026'!B4:B103,"Egreso NT",'Ing-Egr Julio 2026'!C4:C103,G55)</f>
        <v/>
      </c>
      <c r="J55" s="459" t="n"/>
      <c r="K55" s="301" t="n"/>
      <c r="L55" s="301" t="n"/>
    </row>
    <row r="56" ht="15" customHeight="1" s="221">
      <c r="A56" s="410" t="inlineStr">
        <is>
          <t>ChatGPT</t>
        </is>
      </c>
      <c r="B56" s="410" t="inlineStr">
        <is>
          <t>Ninguno</t>
        </is>
      </c>
      <c r="C56" s="411" t="n"/>
      <c r="D56" s="463" t="n"/>
      <c r="E56" s="301" t="n"/>
      <c r="F56" s="301" t="n"/>
      <c r="G56" s="407" t="inlineStr">
        <is>
          <t>Papelería NT</t>
        </is>
      </c>
      <c r="H56" s="407" t="inlineStr">
        <is>
          <t>Ninguno</t>
        </is>
      </c>
      <c r="I56" s="408">
        <f>SUMIFS('Ing-Egr Julio 2026'!F4:F103,'Ing-Egr Julio 2026'!B4:B103,"Egreso NT",'Ing-Egr Julio 2026'!C4:C103,G56)</f>
        <v/>
      </c>
      <c r="J56" s="461" t="n"/>
      <c r="K56" s="301" t="n"/>
      <c r="L56" s="301" t="n"/>
    </row>
    <row r="57" ht="15" customHeight="1" s="221">
      <c r="A57" s="414" t="inlineStr">
        <is>
          <t>Claude Marco</t>
        </is>
      </c>
      <c r="B57" s="414" t="inlineStr">
        <is>
          <t>Ninguno</t>
        </is>
      </c>
      <c r="C57" s="415" t="n"/>
      <c r="D57" s="465" t="n"/>
      <c r="E57" s="301" t="n"/>
      <c r="F57" s="301" t="n"/>
      <c r="G57" s="403" t="inlineStr">
        <is>
          <t>Mantenimiento NT</t>
        </is>
      </c>
      <c r="H57" s="403" t="inlineStr">
        <is>
          <t>Ninguno</t>
        </is>
      </c>
      <c r="I57" s="404">
        <f>SUMIFS('Ing-Egr Julio 2026'!F4:F103,'Ing-Egr Julio 2026'!B4:B103,"Egreso NT",'Ing-Egr Julio 2026'!C4:C103,G57)</f>
        <v/>
      </c>
      <c r="J57" s="459" t="n"/>
      <c r="K57" s="301" t="n"/>
      <c r="L57" s="301" t="n"/>
    </row>
    <row r="58" ht="15" customHeight="1" s="221">
      <c r="A58" s="401" t="inlineStr">
        <is>
          <t>Claude Clara</t>
        </is>
      </c>
      <c r="B58" s="401" t="inlineStr">
        <is>
          <t>Ninguno</t>
        </is>
      </c>
      <c r="C58" s="402" t="n"/>
      <c r="D58" s="458" t="n"/>
      <c r="E58" s="301" t="n"/>
      <c r="F58" s="301" t="n"/>
      <c r="G58" s="407" t="inlineStr">
        <is>
          <t>Gastos Cursos NT</t>
        </is>
      </c>
      <c r="H58" s="407" t="inlineStr">
        <is>
          <t>Ninguno</t>
        </is>
      </c>
      <c r="I58" s="416">
        <f>SUMIFS('Ing-Egr Julio 2026'!F4:F103,'Ing-Egr Julio 2026'!B4:B103,"Egreso NT",'Ing-Egr Julio 2026'!C4:C103,G58)</f>
        <v/>
      </c>
      <c r="J58" s="461" t="n"/>
      <c r="K58" s="301" t="n"/>
      <c r="L58" s="301" t="n"/>
    </row>
    <row r="59" ht="15" customHeight="1" s="221">
      <c r="A59" s="405" t="inlineStr">
        <is>
          <t>iLovePDF</t>
        </is>
      </c>
      <c r="B59" s="405" t="inlineStr">
        <is>
          <t>Ninguno</t>
        </is>
      </c>
      <c r="C59" s="406" t="n"/>
      <c r="D59" s="460" t="n"/>
      <c r="E59" s="301" t="n"/>
      <c r="F59" s="301" t="n"/>
      <c r="G59" s="403" t="inlineStr">
        <is>
          <t>Gastos Varios NT</t>
        </is>
      </c>
      <c r="H59" s="403" t="inlineStr">
        <is>
          <t>Ninguno</t>
        </is>
      </c>
      <c r="I59" s="417">
        <f>SUMIFS('Ing-Egr Julio 2026'!F4:F103,'Ing-Egr Julio 2026'!B4:B103,"Egreso NT",'Ing-Egr Julio 2026'!C4:C103,G59)</f>
        <v/>
      </c>
      <c r="J59" s="459" t="n"/>
      <c r="K59" s="301" t="n"/>
      <c r="L59" s="301" t="n"/>
    </row>
    <row r="60" ht="15" customHeight="1" s="221">
      <c r="A60" s="410" t="inlineStr">
        <is>
          <t>Scribd</t>
        </is>
      </c>
      <c r="B60" s="410" t="inlineStr">
        <is>
          <t>Ninguno</t>
        </is>
      </c>
      <c r="C60" s="411" t="n"/>
      <c r="D60" s="463" t="n"/>
      <c r="E60" s="301" t="n"/>
      <c r="F60" s="301" t="n"/>
      <c r="G60" s="407" t="inlineStr">
        <is>
          <t>Reserva NT 1</t>
        </is>
      </c>
      <c r="H60" s="407" t="inlineStr">
        <is>
          <t>Ninguno</t>
        </is>
      </c>
      <c r="I60" s="408">
        <f>SUMIFS('Ing-Egr Julio 2026'!F4:F103,'Ing-Egr Julio 2026'!B4:B103,"Egreso NT",'Ing-Egr Julio 2026'!C4:C103,G60)</f>
        <v/>
      </c>
      <c r="J60" s="461" t="n"/>
      <c r="K60" s="301" t="n"/>
      <c r="L60" s="301" t="n"/>
    </row>
    <row r="61" ht="15" customHeight="1" s="221">
      <c r="A61" s="405" t="inlineStr">
        <is>
          <t>Netflix</t>
        </is>
      </c>
      <c r="B61" s="405" t="inlineStr">
        <is>
          <t>Ninguno</t>
        </is>
      </c>
      <c r="C61" s="406" t="n"/>
      <c r="D61" s="460" t="n"/>
      <c r="E61" s="301" t="n"/>
      <c r="F61" s="301" t="n"/>
      <c r="G61" s="403" t="inlineStr">
        <is>
          <t>Reserva NT 2</t>
        </is>
      </c>
      <c r="H61" s="403" t="inlineStr">
        <is>
          <t>Ninguno</t>
        </is>
      </c>
      <c r="I61" s="404">
        <f>SUMIFS('Ing-Egr Julio 2026'!F4:F103,'Ing-Egr Julio 2026'!B4:B103,"Egreso NT",'Ing-Egr Julio 2026'!C4:C103,G61)</f>
        <v/>
      </c>
      <c r="J61" s="459" t="n"/>
      <c r="K61" s="301" t="n"/>
      <c r="L61" s="301" t="n"/>
    </row>
    <row r="62" ht="15" customHeight="1" s="221">
      <c r="A62" s="413" t="inlineStr">
        <is>
          <t>► GASTOS VARIABLES 🔗</t>
        </is>
      </c>
      <c r="B62" s="256" t="n"/>
      <c r="C62" s="256" t="n"/>
      <c r="D62" s="353" t="n"/>
      <c r="E62" s="301" t="n"/>
      <c r="F62" s="301" t="n"/>
      <c r="G62" s="407" t="inlineStr">
        <is>
          <t>Reserva NT 3</t>
        </is>
      </c>
      <c r="H62" s="407" t="inlineStr">
        <is>
          <t>Ninguno</t>
        </is>
      </c>
      <c r="I62" s="408">
        <f>SUMIFS('Ing-Egr Julio 2026'!F4:F103,'Ing-Egr Julio 2026'!B4:B103,"Egreso NT",'Ing-Egr Julio 2026'!C4:C103,G62)</f>
        <v/>
      </c>
      <c r="J62" s="461" t="n"/>
      <c r="K62" s="301" t="n"/>
      <c r="L62" s="301" t="n"/>
    </row>
    <row r="63" ht="15" customHeight="1" s="221">
      <c r="A63" s="410" t="inlineStr">
        <is>
          <t>Combustible</t>
        </is>
      </c>
      <c r="B63" s="410" t="inlineStr">
        <is>
          <t>Ninguno</t>
        </is>
      </c>
      <c r="C63" s="411">
        <f>SUMIFS('Ing-Egr Julio 2026'!F4:F103,'Ing-Egr Julio 2026'!B4:B103,"Egreso Familiar",'Ing-Egr Julio 2026'!C4:C103,A63)</f>
        <v/>
      </c>
      <c r="D63" s="463" t="n"/>
      <c r="E63" s="301" t="n"/>
      <c r="F63" s="301" t="n"/>
      <c r="G63" s="301" t="n"/>
      <c r="H63" s="301" t="n"/>
      <c r="I63" s="301" t="n"/>
      <c r="J63" s="466" t="n"/>
      <c r="K63" s="301" t="n"/>
      <c r="L63" s="301" t="n"/>
    </row>
    <row r="64" ht="15" customHeight="1" s="221">
      <c r="A64" s="405" t="inlineStr">
        <is>
          <t>Supermercado</t>
        </is>
      </c>
      <c r="B64" s="405" t="inlineStr">
        <is>
          <t>Ninguno</t>
        </is>
      </c>
      <c r="C64" s="406">
        <f>SUMIFS('Ing-Egr Julio 2026'!F4:F103,'Ing-Egr Julio 2026'!B4:B103,"Egreso Familiar",'Ing-Egr Julio 2026'!C4:C103,A64)</f>
        <v/>
      </c>
      <c r="D64" s="460" t="n"/>
      <c r="E64" s="301" t="n"/>
      <c r="F64" s="301" t="n"/>
      <c r="G64" s="418" t="inlineStr">
        <is>
          <t>TOTAL NT PAGADOS</t>
        </is>
      </c>
      <c r="I64" s="419">
        <f>SUMIF(H30:H62,"Pagado",I30:I62)</f>
        <v/>
      </c>
      <c r="J64" s="467" t="n"/>
      <c r="K64" s="301" t="n"/>
      <c r="L64" s="301" t="n"/>
    </row>
    <row r="65" ht="15" customHeight="1" s="221">
      <c r="A65" s="410" t="inlineStr">
        <is>
          <t>Farmacia</t>
        </is>
      </c>
      <c r="B65" s="410" t="inlineStr">
        <is>
          <t>Ninguno</t>
        </is>
      </c>
      <c r="C65" s="411">
        <f>SUMIFS('Ing-Egr Julio 2026'!F4:F103,'Ing-Egr Julio 2026'!B4:B103,"Egreso Familiar",'Ing-Egr Julio 2026'!C4:C103,A65)</f>
        <v/>
      </c>
      <c r="D65" s="468">
        <f>C72</f>
        <v/>
      </c>
      <c r="E65" s="301" t="n"/>
      <c r="F65" s="301" t="n"/>
      <c r="G65" s="422" t="inlineStr">
        <is>
          <t>TOTAL NT PENDIENTES</t>
        </is>
      </c>
      <c r="I65" s="423">
        <f>SUMIF(H30:H62,"Pendiente",I30:I62)</f>
        <v/>
      </c>
      <c r="J65" s="469" t="n"/>
      <c r="K65" s="301" t="n"/>
      <c r="L65" s="301" t="n"/>
    </row>
    <row r="66" ht="15" customHeight="1" s="221">
      <c r="A66" s="405" t="inlineStr">
        <is>
          <t>Recreación</t>
        </is>
      </c>
      <c r="B66" s="405" t="inlineStr">
        <is>
          <t>Ninguno</t>
        </is>
      </c>
      <c r="C66" s="406">
        <f>SUMIFS('Ing-Egr Julio 2026'!F4:F103,'Ing-Egr Julio 2026'!B4:B103,"Egreso Familiar",'Ing-Egr Julio 2026'!C4:C103,A66)</f>
        <v/>
      </c>
      <c r="D66" s="470">
        <f>C73</f>
        <v/>
      </c>
      <c r="E66" s="301" t="n"/>
      <c r="F66" s="301" t="n"/>
      <c r="G66" s="301" t="n"/>
      <c r="H66" s="301" t="n"/>
      <c r="I66" s="301" t="n"/>
      <c r="J66" s="466" t="n"/>
      <c r="K66" s="301" t="n"/>
      <c r="L66" s="301" t="n"/>
    </row>
    <row r="67" ht="15" customHeight="1" s="221">
      <c r="A67" s="410" t="inlineStr">
        <is>
          <t>Gastos Varios</t>
        </is>
      </c>
      <c r="B67" s="410" t="inlineStr">
        <is>
          <t>Ninguno</t>
        </is>
      </c>
      <c r="C67" s="411">
        <f>SUMIFS('Ing-Egr Julio 2026'!F4:F103,'Ing-Egr Julio 2026'!B4:B103,"Egreso Familiar",'Ing-Egr Julio 2026'!C4:C103,A67)</f>
        <v/>
      </c>
      <c r="D67" s="463" t="n"/>
      <c r="E67" s="301" t="n"/>
      <c r="F67" s="301" t="n"/>
      <c r="G67" s="386" t="inlineStr">
        <is>
          <t>📊 SALUD FINANCIERA NEUROTEA</t>
        </is>
      </c>
      <c r="L67" s="301" t="n"/>
    </row>
    <row r="68" ht="15" customHeight="1" s="221">
      <c r="A68" s="405" t="inlineStr">
        <is>
          <t>Reserva Fam 1</t>
        </is>
      </c>
      <c r="B68" s="405" t="inlineStr">
        <is>
          <t>Ninguno</t>
        </is>
      </c>
      <c r="C68" s="406">
        <f>SUMIFS('Ing-Egr Julio 2026'!F4:F103,'Ing-Egr Julio 2026'!B4:B103,"Egreso Familiar",'Ing-Egr Julio 2026'!C4:C103,A68)</f>
        <v/>
      </c>
      <c r="D68" s="460" t="n"/>
      <c r="E68" s="301" t="n"/>
      <c r="F68" s="301" t="n"/>
      <c r="G68" s="398" t="inlineStr">
        <is>
          <t>Concepto</t>
        </is>
      </c>
      <c r="H68" s="398" t="inlineStr">
        <is>
          <t>% Ideal</t>
        </is>
      </c>
      <c r="I68" s="426" t="inlineStr">
        <is>
          <t>Monto Ideal</t>
        </is>
      </c>
      <c r="J68" s="471" t="inlineStr">
        <is>
          <t>Monto Real</t>
        </is>
      </c>
      <c r="K68" s="398" t="inlineStr">
        <is>
          <t>Estado</t>
        </is>
      </c>
      <c r="L68" s="301" t="n"/>
    </row>
    <row r="69" ht="15" customHeight="1" s="221">
      <c r="A69" s="410" t="inlineStr">
        <is>
          <t>Reserva Fam 2</t>
        </is>
      </c>
      <c r="B69" s="410" t="inlineStr">
        <is>
          <t>Ninguno</t>
        </is>
      </c>
      <c r="C69" s="411">
        <f>SUMIFS('Ing-Egr Julio 2026'!F4:F103,'Ing-Egr Julio 2026'!B4:B103,"Egreso Familiar",'Ing-Egr Julio 2026'!C4:C103,A69)</f>
        <v/>
      </c>
      <c r="D69" s="463" t="n"/>
      <c r="E69" s="301" t="n"/>
      <c r="F69" s="301" t="n"/>
      <c r="G69" s="301" t="inlineStr">
        <is>
          <t>Gastos Operativos (máx 75%)</t>
        </is>
      </c>
      <c r="H69" s="427" t="n">
        <v>0.75</v>
      </c>
      <c r="I69" s="328">
        <f>J12*0.75</f>
        <v/>
      </c>
      <c r="J69" s="466">
        <f>I64+I65</f>
        <v/>
      </c>
      <c r="K69" s="428">
        <f>IF(J12=0,"-",IF(J69/J12&lt;=0.75,"🟢 OK",IF(J69/J12&lt;=0.9,"🟡 PRECAUCIÓN","🔴 ALARMA")))</f>
        <v/>
      </c>
      <c r="L69" s="301" t="n"/>
    </row>
    <row r="70" ht="15" customHeight="1" s="221">
      <c r="A70" s="414" t="inlineStr">
        <is>
          <t>Reserva Fam 3</t>
        </is>
      </c>
      <c r="B70" s="414" t="inlineStr">
        <is>
          <t>Ninguno</t>
        </is>
      </c>
      <c r="C70" s="415">
        <f>SUMIFS('Ing-Egr Julio 2026'!F4:F103,'Ing-Egr Julio 2026'!B4:B103,"Egreso Familiar",'Ing-Egr Julio 2026'!C4:C103,A70)</f>
        <v/>
      </c>
      <c r="D70" s="465" t="n"/>
      <c r="E70" s="301" t="n"/>
      <c r="F70" s="301" t="n"/>
      <c r="G70" s="301" t="inlineStr">
        <is>
          <t>Ganancia (10%)</t>
        </is>
      </c>
      <c r="H70" s="427" t="n">
        <v>0.1</v>
      </c>
      <c r="I70" s="328">
        <f>J12*0.1</f>
        <v/>
      </c>
      <c r="J70" s="466">
        <f>D22</f>
        <v/>
      </c>
      <c r="K70" s="429">
        <f>IF(J70&gt;=I70,"🟢","🔴")</f>
        <v/>
      </c>
      <c r="L70" s="301" t="n"/>
    </row>
    <row r="71" ht="15" customHeight="1" s="221">
      <c r="A71" s="301" t="n"/>
      <c r="B71" s="301" t="n"/>
      <c r="C71" s="301" t="n"/>
      <c r="D71" s="301" t="n"/>
      <c r="E71" s="301" t="n"/>
      <c r="F71" s="301" t="n"/>
      <c r="G71" s="301" t="inlineStr">
        <is>
          <t>Inversiones (5%)</t>
        </is>
      </c>
      <c r="H71" s="427" t="n">
        <v>0.05</v>
      </c>
      <c r="I71" s="328">
        <f>J12*0.05</f>
        <v/>
      </c>
      <c r="J71" s="328" t="n">
        <v>0</v>
      </c>
      <c r="K71" s="429">
        <f>IF(J71&gt;=I71,"🟢","🔴")</f>
        <v/>
      </c>
      <c r="L71" s="301" t="n"/>
    </row>
    <row r="72" ht="15" customHeight="1" s="221">
      <c r="A72" s="430" t="inlineStr">
        <is>
          <t>TOTAL FAM. PAGADOS</t>
        </is>
      </c>
      <c r="B72" s="353" t="n"/>
      <c r="C72" s="431">
        <f>SUMIF(B30:B70,"Pagado",C30:C70)</f>
        <v/>
      </c>
      <c r="D72" s="432" t="n"/>
      <c r="E72" s="301" t="n"/>
      <c r="F72" s="301" t="n"/>
      <c r="G72" s="301" t="inlineStr">
        <is>
          <t>Imprevistos (5%)</t>
        </is>
      </c>
      <c r="H72" s="427" t="n">
        <v>0.05</v>
      </c>
      <c r="I72" s="328">
        <f>J12*0.05</f>
        <v/>
      </c>
      <c r="J72" s="328" t="n">
        <v>0</v>
      </c>
      <c r="K72" s="429">
        <f>IF(J72&gt;=I72,"🟢","🔴")</f>
        <v/>
      </c>
      <c r="L72" s="301" t="n"/>
    </row>
    <row r="73" ht="15" customHeight="1" s="221">
      <c r="A73" s="433" t="inlineStr">
        <is>
          <t>TOTAL FAM. PENDIENTES</t>
        </is>
      </c>
      <c r="B73" s="353" t="n"/>
      <c r="C73" s="434">
        <f>SUMIF(B30:B70,"Pendiente",C30:C70)</f>
        <v/>
      </c>
      <c r="D73" s="435" t="n"/>
      <c r="E73" s="301" t="n"/>
      <c r="F73" s="301" t="n"/>
      <c r="G73" s="301" t="inlineStr">
        <is>
          <t>Desvío Imprevisto (5%)</t>
        </is>
      </c>
      <c r="H73" s="427" t="n">
        <v>0.05</v>
      </c>
      <c r="I73" s="328">
        <f>J12*0.05</f>
        <v/>
      </c>
      <c r="J73" s="328" t="n">
        <v>0</v>
      </c>
      <c r="K73" s="429">
        <f>IF(J73&gt;=I73,"🟢","🔴")</f>
        <v/>
      </c>
      <c r="L73" s="301" t="n"/>
    </row>
    <row r="74" ht="15" customHeight="1" s="221">
      <c r="A74" s="354" t="n"/>
      <c r="B74" s="354" t="n"/>
      <c r="C74" s="359" t="n"/>
      <c r="D74" s="360" t="n"/>
      <c r="E74" s="301" t="n"/>
      <c r="F74" s="301" t="n"/>
      <c r="G74" s="223" t="inlineStr">
        <is>
          <t>TOTAL</t>
        </is>
      </c>
      <c r="H74" s="436">
        <f>SUM(H69:H73)</f>
        <v/>
      </c>
      <c r="I74" s="437">
        <f>SUM(I69:I73)</f>
        <v/>
      </c>
      <c r="J74" s="437">
        <f>SUM(J69:J73)</f>
        <v/>
      </c>
      <c r="K74" s="301" t="n"/>
      <c r="L74" s="301" t="n"/>
    </row>
    <row r="75" ht="15" customHeight="1" s="221">
      <c r="A75" s="354" t="n"/>
      <c r="B75" s="354" t="n"/>
      <c r="C75" s="359" t="n"/>
      <c r="D75" s="360" t="n"/>
      <c r="E75" s="301" t="n"/>
      <c r="F75" s="301" t="n"/>
      <c r="G75" s="301" t="n"/>
      <c r="H75" s="301" t="n"/>
      <c r="I75" s="301" t="n"/>
      <c r="J75" s="301" t="n"/>
      <c r="K75" s="301" t="n"/>
      <c r="L75" s="301" t="n"/>
    </row>
    <row r="76" ht="15" customHeight="1" s="221">
      <c r="A76" s="354" t="n"/>
      <c r="B76" s="354" t="n"/>
      <c r="C76" s="359" t="n"/>
      <c r="D76" s="360" t="n"/>
      <c r="E76" s="301" t="n"/>
      <c r="F76" s="301" t="n"/>
      <c r="G76" s="223" t="inlineStr">
        <is>
          <t>% GASTOS SOBRE INGRESO:</t>
        </is>
      </c>
      <c r="H76" s="301" t="n"/>
      <c r="I76" s="301" t="n"/>
      <c r="J76" s="438">
        <f>IF(J12=0,0,J69/J12)</f>
        <v/>
      </c>
      <c r="K76" s="301" t="n"/>
      <c r="L76" s="301" t="n"/>
    </row>
    <row r="77" ht="15" customHeight="1" s="221">
      <c r="A77" s="354" t="n"/>
      <c r="B77" s="354" t="n"/>
      <c r="C77" s="359" t="n"/>
      <c r="D77" s="360" t="n"/>
      <c r="E77" s="301" t="n"/>
      <c r="F77" s="301" t="n"/>
      <c r="G77" s="223" t="inlineStr">
        <is>
          <t>DIAGNÓSTICO:</t>
        </is>
      </c>
      <c r="H77" s="301" t="n"/>
      <c r="I77" s="301" t="n"/>
      <c r="J77" s="439">
        <f>IF(J12=0,"Sin datos",IF(J69/J12&lt;=0.75,"🟢 CLÍNICA SANA",IF(J69/J12&lt;=0.9,"🟡 REVISAR GASTOS","🔴 SITUACIÓN CRÍTICA")))</f>
        <v/>
      </c>
      <c r="L77" s="301" t="n"/>
    </row>
    <row r="78" ht="15" customHeight="1" s="221">
      <c r="A78" s="354" t="n"/>
      <c r="B78" s="354" t="n"/>
      <c r="C78" s="359" t="n"/>
      <c r="D78" s="360" t="n"/>
      <c r="E78" s="301" t="n"/>
      <c r="F78" s="301" t="n"/>
      <c r="G78" s="301" t="n"/>
      <c r="H78" s="301" t="n"/>
      <c r="I78" s="301" t="n"/>
      <c r="J78" s="301" t="n"/>
      <c r="K78" s="301" t="n"/>
      <c r="L78" s="301" t="n"/>
    </row>
    <row r="79" ht="15" customHeight="1" s="221">
      <c r="A79" s="354" t="n"/>
      <c r="B79" s="354" t="n"/>
      <c r="C79" s="359" t="n"/>
      <c r="D79" s="360" t="n"/>
      <c r="E79" s="301" t="n"/>
      <c r="F79" s="301" t="n"/>
      <c r="G79" s="301" t="n"/>
      <c r="H79" s="301" t="n"/>
      <c r="I79" s="301" t="n"/>
      <c r="J79" s="301" t="n"/>
      <c r="K79" s="301" t="n"/>
      <c r="L79" s="301" t="n"/>
    </row>
    <row r="80" ht="15" customHeight="1" s="221">
      <c r="A80" s="301" t="n"/>
      <c r="B80" s="301" t="n"/>
      <c r="C80" s="328" t="n"/>
      <c r="D80" s="301" t="n"/>
      <c r="E80" s="301" t="n"/>
      <c r="F80" s="301" t="n"/>
      <c r="G80" s="301" t="n"/>
      <c r="H80" s="301" t="n"/>
      <c r="I80" s="301" t="n"/>
      <c r="J80" s="301" t="n"/>
      <c r="K80" s="301" t="n"/>
      <c r="L80" s="301" t="n"/>
    </row>
    <row r="81" ht="15.75" customHeight="1" s="221">
      <c r="A81" s="301" t="n"/>
      <c r="B81" s="301" t="n"/>
      <c r="C81" s="328" t="n"/>
      <c r="D81" s="301" t="n"/>
      <c r="E81" s="301" t="n"/>
      <c r="F81" s="301" t="n"/>
      <c r="G81" s="301" t="n"/>
      <c r="H81" s="301" t="n"/>
      <c r="I81" s="301" t="n"/>
      <c r="J81" s="301" t="n"/>
      <c r="K81" s="301" t="n"/>
      <c r="L81" s="301" t="n"/>
    </row>
    <row r="82" ht="15.75" customHeight="1" s="221">
      <c r="A82" s="301" t="n"/>
      <c r="B82" s="301" t="n"/>
      <c r="C82" s="328" t="n"/>
      <c r="D82" s="301" t="n"/>
      <c r="E82" s="301" t="n"/>
      <c r="F82" s="301" t="n"/>
      <c r="G82" s="301" t="n"/>
      <c r="H82" s="301" t="n"/>
      <c r="I82" s="301" t="n"/>
      <c r="J82" s="301" t="n"/>
      <c r="K82" s="301" t="n"/>
      <c r="L82" s="301" t="n"/>
    </row>
    <row r="83" ht="15" customHeight="1" s="221">
      <c r="A83" s="301" t="n"/>
      <c r="B83" s="301" t="n"/>
      <c r="C83" s="301" t="n"/>
      <c r="D83" s="301" t="n"/>
      <c r="E83" s="301" t="n"/>
      <c r="F83" s="301" t="n"/>
      <c r="G83" s="301" t="n"/>
      <c r="H83" s="301" t="n"/>
      <c r="I83" s="301" t="n"/>
      <c r="J83" s="301" t="n"/>
      <c r="K83" s="301" t="n"/>
      <c r="L83" s="301" t="n"/>
    </row>
    <row r="84" ht="15" customHeight="1" s="221">
      <c r="A84" s="301" t="n"/>
      <c r="B84" s="301" t="n"/>
      <c r="C84" s="301" t="n"/>
      <c r="D84" s="301" t="n"/>
      <c r="E84" s="301" t="n"/>
      <c r="F84" s="301" t="n"/>
      <c r="G84" s="301" t="n"/>
      <c r="H84" s="301" t="n"/>
      <c r="I84" s="301" t="n"/>
      <c r="J84" s="301" t="n"/>
      <c r="K84" s="301" t="n"/>
      <c r="L84" s="301" t="n"/>
    </row>
    <row r="85" ht="15" customHeight="1" s="221">
      <c r="A85" s="354" t="n"/>
      <c r="B85" s="354" t="n"/>
      <c r="C85" s="354" t="n"/>
      <c r="D85" s="354" t="n"/>
      <c r="E85" s="301" t="n"/>
      <c r="F85" s="301" t="n"/>
      <c r="G85" s="301" t="n"/>
      <c r="H85" s="301" t="n"/>
      <c r="I85" s="301" t="n"/>
      <c r="J85" s="301" t="n"/>
      <c r="K85" s="301" t="n"/>
      <c r="L85" s="301" t="n"/>
    </row>
    <row r="86" ht="15" customHeight="1" s="221">
      <c r="A86" s="301" t="n"/>
      <c r="B86" s="301" t="n"/>
      <c r="C86" s="301" t="n"/>
      <c r="D86" s="301" t="n"/>
      <c r="E86" s="301" t="n"/>
      <c r="F86" s="301" t="n"/>
      <c r="G86" s="301" t="n"/>
      <c r="H86" s="301" t="n"/>
      <c r="I86" s="301" t="n"/>
      <c r="J86" s="301" t="n"/>
      <c r="K86" s="301" t="n"/>
      <c r="L86" s="301" t="n"/>
    </row>
    <row r="87" ht="15" customHeight="1" s="221">
      <c r="A87" s="354" t="n"/>
      <c r="B87" s="354" t="n"/>
      <c r="C87" s="359" t="n"/>
      <c r="D87" s="360" t="n"/>
      <c r="E87" s="301" t="n"/>
      <c r="F87" s="301" t="n"/>
      <c r="G87" s="301" t="n"/>
      <c r="H87" s="301" t="n"/>
      <c r="I87" s="301" t="n"/>
      <c r="J87" s="301" t="n"/>
      <c r="K87" s="301" t="n"/>
      <c r="L87" s="301" t="n"/>
    </row>
    <row r="88" ht="15" customHeight="1" s="221">
      <c r="A88" s="354" t="n"/>
      <c r="B88" s="354" t="n"/>
      <c r="C88" s="359" t="n"/>
      <c r="D88" s="360" t="n"/>
      <c r="E88" s="301" t="n"/>
      <c r="F88" s="301" t="n"/>
      <c r="G88" s="301" t="n"/>
      <c r="H88" s="301" t="n"/>
      <c r="I88" s="301" t="n"/>
      <c r="J88" s="301" t="n"/>
      <c r="K88" s="301" t="n"/>
      <c r="L88" s="301" t="n"/>
    </row>
    <row r="89" ht="15" customHeight="1" s="221">
      <c r="A89" s="354" t="n"/>
      <c r="B89" s="354" t="n"/>
      <c r="C89" s="359" t="n"/>
      <c r="D89" s="360" t="n"/>
      <c r="E89" s="301" t="n"/>
      <c r="F89" s="301" t="n"/>
      <c r="G89" s="301" t="n"/>
      <c r="H89" s="301" t="n"/>
      <c r="I89" s="301" t="n"/>
      <c r="J89" s="301" t="n"/>
      <c r="K89" s="301" t="n"/>
      <c r="L89" s="301" t="n"/>
    </row>
    <row r="90" ht="15" customHeight="1" s="221">
      <c r="A90" s="354" t="n"/>
      <c r="B90" s="354" t="n"/>
      <c r="C90" s="359" t="n"/>
      <c r="D90" s="360" t="n"/>
      <c r="E90" s="301" t="n"/>
      <c r="F90" s="301" t="n"/>
      <c r="G90" s="301" t="n"/>
      <c r="H90" s="301" t="n"/>
      <c r="I90" s="301" t="n"/>
      <c r="J90" s="301" t="n"/>
      <c r="K90" s="301" t="n"/>
      <c r="L90" s="301" t="n"/>
    </row>
    <row r="91" ht="15" customHeight="1" s="221">
      <c r="A91" s="301" t="n"/>
      <c r="B91" s="301" t="n"/>
      <c r="C91" s="328" t="n"/>
      <c r="D91" s="301" t="n"/>
      <c r="E91" s="301" t="n"/>
      <c r="F91" s="301" t="n"/>
      <c r="G91" s="301" t="n"/>
      <c r="H91" s="301" t="n"/>
      <c r="I91" s="301" t="n"/>
      <c r="J91" s="301" t="n"/>
      <c r="K91" s="301" t="n"/>
      <c r="L91" s="301" t="n"/>
    </row>
    <row r="92" ht="15" customHeight="1" s="221">
      <c r="A92" s="301" t="n"/>
      <c r="B92" s="301" t="n"/>
      <c r="C92" s="301" t="n"/>
      <c r="D92" s="301" t="n"/>
      <c r="E92" s="301" t="n"/>
      <c r="F92" s="301" t="n"/>
      <c r="G92" s="301" t="n"/>
      <c r="H92" s="301" t="n"/>
      <c r="I92" s="301" t="n"/>
      <c r="J92" s="301" t="n"/>
      <c r="K92" s="301" t="n"/>
      <c r="L92" s="301" t="n"/>
    </row>
    <row r="93" ht="15" customHeight="1" s="221">
      <c r="A93" s="354" t="n"/>
      <c r="B93" s="354" t="n"/>
      <c r="C93" s="359" t="n"/>
      <c r="D93" s="360" t="n"/>
      <c r="E93" s="301" t="n"/>
      <c r="F93" s="301" t="n"/>
      <c r="G93" s="301" t="n"/>
      <c r="H93" s="301" t="n"/>
      <c r="I93" s="301" t="n"/>
      <c r="J93" s="301" t="n"/>
      <c r="K93" s="301" t="n"/>
      <c r="L93" s="301" t="n"/>
    </row>
    <row r="94" ht="15" customHeight="1" s="221">
      <c r="A94" s="354" t="n"/>
      <c r="B94" s="354" t="n"/>
      <c r="C94" s="359" t="n"/>
      <c r="D94" s="360" t="n"/>
      <c r="E94" s="301" t="n"/>
      <c r="F94" s="301" t="n"/>
      <c r="G94" s="301" t="n"/>
      <c r="H94" s="301" t="n"/>
      <c r="I94" s="301" t="n"/>
      <c r="J94" s="301" t="n"/>
      <c r="K94" s="301" t="n"/>
      <c r="L94" s="301" t="n"/>
    </row>
    <row r="95" ht="15" customHeight="1" s="221">
      <c r="A95" s="354" t="n"/>
      <c r="B95" s="354" t="n"/>
      <c r="C95" s="359" t="n"/>
      <c r="D95" s="360" t="n"/>
      <c r="E95" s="301" t="n"/>
      <c r="F95" s="301" t="n"/>
      <c r="G95" s="301" t="n"/>
      <c r="H95" s="301" t="n"/>
      <c r="I95" s="301" t="n"/>
      <c r="J95" s="301" t="n"/>
      <c r="K95" s="301" t="n"/>
      <c r="L95" s="301" t="n"/>
    </row>
    <row r="96" ht="15" customHeight="1" s="221">
      <c r="A96" s="354" t="n"/>
      <c r="B96" s="354" t="n"/>
      <c r="C96" s="359" t="n"/>
      <c r="D96" s="360" t="n"/>
      <c r="E96" s="301" t="n"/>
      <c r="F96" s="301" t="n"/>
      <c r="G96" s="301" t="n"/>
      <c r="H96" s="301" t="n"/>
      <c r="I96" s="301" t="n"/>
      <c r="J96" s="301" t="n"/>
      <c r="K96" s="301" t="n"/>
      <c r="L96" s="301" t="n"/>
    </row>
    <row r="97" ht="15" customHeight="1" s="221">
      <c r="A97" s="354" t="n"/>
      <c r="B97" s="354" t="n"/>
      <c r="C97" s="359" t="n"/>
      <c r="D97" s="360" t="n"/>
      <c r="E97" s="301" t="n"/>
      <c r="F97" s="301" t="n"/>
      <c r="G97" s="301" t="n"/>
      <c r="H97" s="301" t="n"/>
      <c r="I97" s="301" t="n"/>
      <c r="J97" s="301" t="n"/>
      <c r="K97" s="301" t="n"/>
      <c r="L97" s="301" t="n"/>
    </row>
    <row r="98" ht="15" customHeight="1" s="221">
      <c r="A98" s="354" t="n"/>
      <c r="B98" s="354" t="n"/>
      <c r="C98" s="359" t="n"/>
      <c r="D98" s="360" t="n"/>
      <c r="E98" s="301" t="n"/>
      <c r="F98" s="301" t="n"/>
      <c r="G98" s="301" t="n"/>
      <c r="H98" s="301" t="n"/>
      <c r="I98" s="301" t="n"/>
      <c r="J98" s="301" t="n"/>
      <c r="K98" s="301" t="n"/>
      <c r="L98" s="301" t="n"/>
    </row>
    <row r="99" ht="15" customHeight="1" s="221">
      <c r="A99" s="301" t="n"/>
      <c r="B99" s="301" t="n"/>
      <c r="C99" s="328" t="n"/>
      <c r="D99" s="301" t="n"/>
      <c r="E99" s="301" t="n"/>
      <c r="F99" s="301" t="n"/>
      <c r="G99" s="301" t="n"/>
      <c r="H99" s="301" t="n"/>
      <c r="I99" s="301" t="n"/>
      <c r="J99" s="301" t="n"/>
      <c r="K99" s="301" t="n"/>
      <c r="L99" s="301" t="n"/>
    </row>
    <row r="100" ht="15" customHeight="1" s="221">
      <c r="A100" s="301" t="n"/>
      <c r="B100" s="301" t="n"/>
      <c r="C100" s="301" t="n"/>
      <c r="D100" s="301" t="n"/>
      <c r="E100" s="301" t="n"/>
      <c r="F100" s="301" t="n"/>
      <c r="G100" s="301" t="n"/>
      <c r="H100" s="301" t="n"/>
      <c r="I100" s="301" t="n"/>
      <c r="J100" s="301" t="n"/>
      <c r="K100" s="301" t="n"/>
      <c r="L100" s="301" t="n"/>
    </row>
    <row r="101" ht="15" customHeight="1" s="221">
      <c r="A101" s="354" t="n"/>
      <c r="B101" s="354" t="n"/>
      <c r="C101" s="359" t="n"/>
      <c r="D101" s="360" t="n"/>
      <c r="E101" s="301" t="n"/>
      <c r="F101" s="301" t="n"/>
      <c r="G101" s="301" t="n"/>
      <c r="H101" s="301" t="n"/>
      <c r="I101" s="301" t="n"/>
      <c r="J101" s="301" t="n"/>
      <c r="K101" s="301" t="n"/>
      <c r="L101" s="301" t="n"/>
    </row>
    <row r="102" ht="15" customHeight="1" s="221">
      <c r="A102" s="354" t="n"/>
      <c r="B102" s="354" t="n"/>
      <c r="C102" s="359" t="n"/>
      <c r="D102" s="360" t="n"/>
      <c r="E102" s="301" t="n"/>
      <c r="F102" s="301" t="n"/>
      <c r="G102" s="301" t="n"/>
      <c r="H102" s="301" t="n"/>
      <c r="I102" s="301" t="n"/>
      <c r="J102" s="301" t="n"/>
      <c r="K102" s="301" t="n"/>
      <c r="L102" s="301" t="n"/>
    </row>
    <row r="103" ht="15" customHeight="1" s="221">
      <c r="A103" s="354" t="n"/>
      <c r="B103" s="354" t="n"/>
      <c r="C103" s="359" t="n"/>
      <c r="D103" s="360" t="n"/>
      <c r="E103" s="301" t="n"/>
      <c r="F103" s="301" t="n"/>
      <c r="G103" s="301" t="n"/>
      <c r="H103" s="301" t="n"/>
      <c r="I103" s="301" t="n"/>
      <c r="J103" s="301" t="n"/>
      <c r="K103" s="301" t="n"/>
      <c r="L103" s="301" t="n"/>
    </row>
    <row r="104" ht="15" customHeight="1" s="221">
      <c r="A104" s="354" t="n"/>
      <c r="B104" s="354" t="n"/>
      <c r="C104" s="359" t="n"/>
      <c r="D104" s="360" t="n"/>
      <c r="E104" s="301" t="n"/>
      <c r="F104" s="301" t="n"/>
      <c r="G104" s="301" t="n"/>
      <c r="H104" s="301" t="n"/>
      <c r="I104" s="301" t="n"/>
      <c r="J104" s="301" t="n"/>
      <c r="K104" s="301" t="n"/>
      <c r="L104" s="301" t="n"/>
    </row>
    <row r="105" ht="15" customHeight="1" s="221">
      <c r="A105" s="354" t="n"/>
      <c r="B105" s="354" t="n"/>
      <c r="C105" s="359" t="n"/>
      <c r="D105" s="360" t="n"/>
      <c r="E105" s="301" t="n"/>
      <c r="F105" s="301" t="n"/>
      <c r="G105" s="301" t="n"/>
      <c r="H105" s="301" t="n"/>
      <c r="I105" s="301" t="n"/>
      <c r="J105" s="301" t="n"/>
      <c r="K105" s="301" t="n"/>
      <c r="L105" s="301" t="n"/>
    </row>
    <row r="106" ht="15" customHeight="1" s="221">
      <c r="A106" s="301" t="n"/>
      <c r="B106" s="301" t="n"/>
      <c r="C106" s="328" t="n"/>
      <c r="D106" s="301" t="n"/>
      <c r="E106" s="301" t="n"/>
      <c r="F106" s="301" t="n"/>
      <c r="G106" s="301" t="n"/>
      <c r="H106" s="301" t="n"/>
      <c r="I106" s="301" t="n"/>
      <c r="J106" s="301" t="n"/>
      <c r="K106" s="301" t="n"/>
      <c r="L106" s="301" t="n"/>
    </row>
    <row r="107" ht="15" customHeight="1" s="221">
      <c r="A107" s="301" t="n"/>
      <c r="B107" s="301" t="n"/>
      <c r="C107" s="301" t="n"/>
      <c r="D107" s="301" t="n"/>
      <c r="E107" s="301" t="n"/>
      <c r="F107" s="301" t="n"/>
      <c r="G107" s="301" t="n"/>
      <c r="H107" s="301" t="n"/>
      <c r="I107" s="301" t="n"/>
      <c r="J107" s="301" t="n"/>
      <c r="K107" s="301" t="n"/>
      <c r="L107" s="301" t="n"/>
    </row>
    <row r="108" ht="15" customHeight="1" s="221">
      <c r="A108" s="354" t="n"/>
      <c r="B108" s="354" t="n"/>
      <c r="C108" s="359" t="n"/>
      <c r="D108" s="360" t="n"/>
      <c r="E108" s="301" t="n"/>
      <c r="F108" s="301" t="n"/>
      <c r="G108" s="301" t="n"/>
      <c r="H108" s="301" t="n"/>
      <c r="I108" s="301" t="n"/>
      <c r="J108" s="301" t="n"/>
      <c r="K108" s="301" t="n"/>
      <c r="L108" s="301" t="n"/>
    </row>
    <row r="109" ht="15" customHeight="1" s="221">
      <c r="A109" s="354" t="n"/>
      <c r="B109" s="354" t="n"/>
      <c r="C109" s="359" t="n"/>
      <c r="D109" s="360" t="n"/>
      <c r="E109" s="301" t="n"/>
      <c r="F109" s="301" t="n"/>
      <c r="G109" s="301" t="n"/>
      <c r="H109" s="301" t="n"/>
      <c r="I109" s="301" t="n"/>
      <c r="J109" s="301" t="n"/>
      <c r="K109" s="301" t="n"/>
      <c r="L109" s="301" t="n"/>
    </row>
    <row r="110" ht="15" customHeight="1" s="221">
      <c r="A110" s="301" t="n"/>
      <c r="B110" s="301" t="n"/>
      <c r="C110" s="328" t="n"/>
      <c r="D110" s="301" t="n"/>
      <c r="E110" s="301" t="n"/>
      <c r="F110" s="301" t="n"/>
      <c r="G110" s="301" t="n"/>
      <c r="H110" s="301" t="n"/>
      <c r="I110" s="301" t="n"/>
      <c r="J110" s="301" t="n"/>
      <c r="K110" s="301" t="n"/>
      <c r="L110" s="301" t="n"/>
    </row>
    <row r="111" ht="15" customHeight="1" s="221">
      <c r="A111" s="301" t="n"/>
      <c r="B111" s="301" t="n"/>
      <c r="C111" s="301" t="n"/>
      <c r="D111" s="301" t="n"/>
      <c r="E111" s="301" t="n"/>
      <c r="F111" s="301" t="n"/>
      <c r="G111" s="301" t="n"/>
      <c r="H111" s="301" t="n"/>
      <c r="I111" s="301" t="n"/>
      <c r="J111" s="301" t="n"/>
      <c r="K111" s="301" t="n"/>
      <c r="L111" s="301" t="n"/>
    </row>
    <row r="112" ht="15" customHeight="1" s="221">
      <c r="A112" s="354" t="n"/>
      <c r="B112" s="354" t="n"/>
      <c r="C112" s="359" t="n"/>
      <c r="D112" s="360" t="n"/>
      <c r="E112" s="301" t="n"/>
      <c r="F112" s="301" t="n"/>
      <c r="G112" s="301" t="n"/>
      <c r="H112" s="301" t="n"/>
      <c r="I112" s="301" t="n"/>
      <c r="J112" s="301" t="n"/>
      <c r="K112" s="301" t="n"/>
      <c r="L112" s="301" t="n"/>
    </row>
    <row r="113" ht="15" customHeight="1" s="221">
      <c r="A113" s="354" t="n"/>
      <c r="B113" s="354" t="n"/>
      <c r="C113" s="359" t="n"/>
      <c r="D113" s="360" t="n"/>
      <c r="E113" s="301" t="n"/>
      <c r="F113" s="301" t="n"/>
      <c r="G113" s="301" t="n"/>
      <c r="H113" s="301" t="n"/>
      <c r="I113" s="301" t="n"/>
      <c r="J113" s="301" t="n"/>
      <c r="K113" s="301" t="n"/>
      <c r="L113" s="301" t="n"/>
    </row>
    <row r="114" ht="15" customHeight="1" s="221">
      <c r="A114" s="354" t="n"/>
      <c r="B114" s="354" t="n"/>
      <c r="C114" s="359" t="n"/>
      <c r="D114" s="360" t="n"/>
      <c r="E114" s="301" t="n"/>
      <c r="F114" s="301" t="n"/>
      <c r="G114" s="301" t="n"/>
      <c r="H114" s="301" t="n"/>
      <c r="I114" s="301" t="n"/>
      <c r="J114" s="301" t="n"/>
      <c r="K114" s="301" t="n"/>
      <c r="L114" s="301" t="n"/>
    </row>
    <row r="115" ht="15" customHeight="1" s="221">
      <c r="A115" s="354" t="n"/>
      <c r="B115" s="354" t="n"/>
      <c r="C115" s="359" t="n"/>
      <c r="D115" s="360" t="n"/>
      <c r="E115" s="301" t="n"/>
      <c r="F115" s="301" t="n"/>
      <c r="G115" s="301" t="n"/>
      <c r="H115" s="301" t="n"/>
      <c r="I115" s="301" t="n"/>
      <c r="J115" s="301" t="n"/>
      <c r="K115" s="301" t="n"/>
      <c r="L115" s="301" t="n"/>
    </row>
    <row r="116" ht="15" customHeight="1" s="221">
      <c r="A116" s="354" t="n"/>
      <c r="B116" s="354" t="n"/>
      <c r="C116" s="359" t="n"/>
      <c r="D116" s="360" t="n"/>
      <c r="E116" s="301" t="n"/>
      <c r="F116" s="301" t="n"/>
      <c r="G116" s="301" t="n"/>
      <c r="H116" s="301" t="n"/>
      <c r="I116" s="301" t="n"/>
      <c r="J116" s="301" t="n"/>
      <c r="K116" s="301" t="n"/>
      <c r="L116" s="301" t="n"/>
    </row>
    <row r="117" ht="15" customHeight="1" s="221">
      <c r="A117" s="354" t="n"/>
      <c r="B117" s="354" t="n"/>
      <c r="C117" s="359" t="n"/>
      <c r="D117" s="360" t="n"/>
      <c r="E117" s="301" t="n"/>
      <c r="F117" s="301" t="n"/>
      <c r="G117" s="301" t="n"/>
      <c r="H117" s="301" t="n"/>
      <c r="I117" s="301" t="n"/>
      <c r="J117" s="301" t="n"/>
      <c r="K117" s="301" t="n"/>
      <c r="L117" s="301" t="n"/>
    </row>
    <row r="118" ht="15" customHeight="1" s="221">
      <c r="A118" s="354" t="n"/>
      <c r="B118" s="354" t="n"/>
      <c r="C118" s="359" t="n"/>
      <c r="D118" s="360" t="n"/>
      <c r="E118" s="301" t="n"/>
      <c r="F118" s="301" t="n"/>
      <c r="G118" s="301" t="n"/>
      <c r="H118" s="301" t="n"/>
      <c r="I118" s="301" t="n"/>
      <c r="J118" s="301" t="n"/>
      <c r="K118" s="301" t="n"/>
      <c r="L118" s="301" t="n"/>
    </row>
    <row r="119" ht="15" customHeight="1" s="221">
      <c r="A119" s="354" t="n"/>
      <c r="B119" s="354" t="n"/>
      <c r="C119" s="359" t="n"/>
      <c r="D119" s="360" t="n"/>
      <c r="E119" s="301" t="n"/>
      <c r="F119" s="301" t="n"/>
      <c r="G119" s="301" t="n"/>
      <c r="H119" s="301" t="n"/>
      <c r="I119" s="301" t="n"/>
      <c r="J119" s="301" t="n"/>
      <c r="K119" s="301" t="n"/>
      <c r="L119" s="301" t="n"/>
    </row>
    <row r="120" ht="15" customHeight="1" s="221">
      <c r="A120" s="354" t="n"/>
      <c r="B120" s="354" t="n"/>
      <c r="C120" s="359" t="n"/>
      <c r="D120" s="360" t="n"/>
      <c r="E120" s="301" t="n"/>
      <c r="F120" s="301" t="n"/>
      <c r="G120" s="301" t="n"/>
      <c r="H120" s="301" t="n"/>
      <c r="I120" s="301" t="n"/>
      <c r="J120" s="301" t="n"/>
      <c r="K120" s="301" t="n"/>
      <c r="L120" s="301" t="n"/>
    </row>
    <row r="121" ht="15" customHeight="1" s="221">
      <c r="A121" s="301" t="n"/>
      <c r="B121" s="301" t="n"/>
      <c r="C121" s="328" t="n"/>
      <c r="D121" s="301" t="n"/>
      <c r="E121" s="301" t="n"/>
      <c r="F121" s="301" t="n"/>
      <c r="G121" s="301" t="n"/>
      <c r="H121" s="301" t="n"/>
      <c r="I121" s="301" t="n"/>
      <c r="J121" s="301" t="n"/>
      <c r="K121" s="301" t="n"/>
      <c r="L121" s="301" t="n"/>
    </row>
    <row r="122" ht="15.75" customHeight="1" s="221">
      <c r="A122" s="301" t="n"/>
      <c r="B122" s="301" t="n"/>
      <c r="C122" s="328" t="n"/>
      <c r="D122" s="301" t="n"/>
      <c r="E122" s="301" t="n"/>
      <c r="F122" s="301" t="n"/>
      <c r="G122" s="301" t="n"/>
      <c r="H122" s="301" t="n"/>
      <c r="I122" s="301" t="n"/>
      <c r="J122" s="301" t="n"/>
      <c r="K122" s="301" t="n"/>
      <c r="L122" s="301" t="n"/>
    </row>
    <row r="123" ht="15.75" customHeight="1" s="221">
      <c r="A123" s="301" t="n"/>
      <c r="B123" s="301" t="n"/>
      <c r="C123" s="328" t="n"/>
      <c r="D123" s="301" t="n"/>
      <c r="E123" s="301" t="n"/>
      <c r="F123" s="301" t="n"/>
      <c r="G123" s="301" t="n"/>
      <c r="H123" s="301" t="n"/>
      <c r="I123" s="301" t="n"/>
      <c r="J123" s="301" t="n"/>
      <c r="K123" s="301" t="n"/>
      <c r="L123" s="301" t="n"/>
    </row>
    <row r="124" ht="15" customHeight="1" s="221">
      <c r="A124" s="301" t="n"/>
      <c r="B124" s="301" t="n"/>
      <c r="C124" s="301" t="n"/>
      <c r="D124" s="301" t="n"/>
      <c r="E124" s="301" t="n"/>
      <c r="F124" s="301" t="n"/>
      <c r="G124" s="301" t="n"/>
      <c r="H124" s="301" t="n"/>
      <c r="I124" s="301" t="n"/>
      <c r="J124" s="301" t="n"/>
      <c r="K124" s="301" t="n"/>
      <c r="L124" s="301" t="n"/>
    </row>
    <row r="125" ht="15" customHeight="1" s="221">
      <c r="A125" s="301" t="n"/>
      <c r="B125" s="301" t="n"/>
      <c r="C125" s="301" t="n"/>
      <c r="D125" s="301" t="n"/>
      <c r="E125" s="301" t="n"/>
      <c r="F125" s="301" t="n"/>
      <c r="G125" s="301" t="n"/>
      <c r="H125" s="301" t="n"/>
      <c r="I125" s="301" t="n"/>
      <c r="J125" s="301" t="n"/>
      <c r="K125" s="301" t="n"/>
      <c r="L125" s="301" t="n"/>
    </row>
    <row r="126" ht="15" customHeight="1" s="221">
      <c r="A126" s="301" t="n"/>
      <c r="B126" s="301" t="n"/>
      <c r="C126" s="301" t="n"/>
      <c r="D126" s="301" t="n"/>
      <c r="E126" s="301" t="n"/>
      <c r="F126" s="301" t="n"/>
      <c r="G126" s="301" t="n"/>
      <c r="H126" s="301" t="n"/>
      <c r="I126" s="301" t="n"/>
      <c r="J126" s="301" t="n"/>
      <c r="K126" s="301" t="n"/>
      <c r="L126" s="301" t="n"/>
    </row>
    <row r="127" ht="15" customHeight="1" s="221">
      <c r="A127" s="301" t="n"/>
      <c r="B127" s="301" t="n"/>
      <c r="C127" s="301" t="n"/>
      <c r="D127" s="301" t="n"/>
      <c r="E127" s="301" t="n"/>
      <c r="F127" s="301" t="n"/>
      <c r="G127" s="301" t="n"/>
      <c r="H127" s="301" t="n"/>
      <c r="I127" s="301" t="n"/>
      <c r="J127" s="301" t="n"/>
      <c r="K127" s="301" t="n"/>
      <c r="L127" s="301" t="n"/>
    </row>
    <row r="128" ht="15" customHeight="1" s="221">
      <c r="A128" s="301" t="n"/>
      <c r="B128" s="301" t="n"/>
      <c r="C128" s="301" t="n"/>
      <c r="D128" s="301" t="n"/>
      <c r="E128" s="301" t="n"/>
      <c r="F128" s="301" t="n"/>
      <c r="G128" s="301" t="n"/>
      <c r="H128" s="301" t="n"/>
      <c r="I128" s="301" t="n"/>
      <c r="J128" s="301" t="n"/>
      <c r="K128" s="301" t="n"/>
      <c r="L128" s="301" t="n"/>
    </row>
    <row r="129" ht="15" customHeight="1" s="221">
      <c r="A129" s="301" t="n"/>
      <c r="B129" s="301" t="n"/>
      <c r="C129" s="301" t="n"/>
      <c r="D129" s="301" t="n"/>
      <c r="E129" s="301" t="n"/>
      <c r="F129" s="301" t="n"/>
      <c r="G129" s="301" t="n"/>
      <c r="H129" s="301" t="n"/>
      <c r="I129" s="301" t="n"/>
      <c r="J129" s="301" t="n"/>
      <c r="K129" s="301" t="n"/>
      <c r="L129" s="301" t="n"/>
    </row>
    <row r="130" ht="15" customHeight="1" s="221">
      <c r="A130" s="301" t="n"/>
      <c r="B130" s="301" t="n"/>
      <c r="C130" s="301" t="n"/>
      <c r="D130" s="301" t="n"/>
      <c r="E130" s="301" t="n"/>
      <c r="F130" s="301" t="n"/>
      <c r="G130" s="301" t="n"/>
      <c r="H130" s="301" t="n"/>
      <c r="I130" s="301" t="n"/>
      <c r="J130" s="301" t="n"/>
      <c r="K130" s="301" t="n"/>
      <c r="L130" s="301" t="n"/>
    </row>
    <row r="131" ht="15" customHeight="1" s="221">
      <c r="A131" s="301" t="n"/>
      <c r="B131" s="301" t="n"/>
      <c r="C131" s="301" t="n"/>
      <c r="D131" s="301" t="n"/>
      <c r="E131" s="301" t="n"/>
      <c r="F131" s="301" t="n"/>
      <c r="G131" s="301" t="n"/>
      <c r="H131" s="301" t="n"/>
      <c r="I131" s="301" t="n"/>
      <c r="J131" s="301" t="n"/>
      <c r="K131" s="301" t="n"/>
      <c r="L131" s="301" t="n"/>
    </row>
    <row r="132" ht="15" customHeight="1" s="221">
      <c r="A132" s="301" t="n"/>
      <c r="B132" s="301" t="n"/>
      <c r="C132" s="301" t="n"/>
      <c r="D132" s="301" t="n"/>
      <c r="E132" s="301" t="n"/>
      <c r="F132" s="301" t="n"/>
      <c r="G132" s="301" t="n"/>
      <c r="H132" s="301" t="n"/>
      <c r="I132" s="301" t="n"/>
      <c r="J132" s="301" t="n"/>
      <c r="K132" s="301" t="n"/>
      <c r="L132" s="301" t="n"/>
    </row>
    <row r="133" ht="15" customHeight="1" s="221">
      <c r="A133" s="301" t="n"/>
      <c r="B133" s="301" t="n"/>
      <c r="C133" s="301" t="n"/>
      <c r="D133" s="301" t="n"/>
      <c r="E133" s="301" t="n"/>
      <c r="F133" s="301" t="n"/>
      <c r="G133" s="301" t="n"/>
      <c r="H133" s="301" t="n"/>
      <c r="I133" s="301" t="n"/>
      <c r="J133" s="301" t="n"/>
      <c r="K133" s="301" t="n"/>
      <c r="L133" s="301" t="n"/>
    </row>
    <row r="134" ht="15" customHeight="1" s="221">
      <c r="A134" s="301" t="n"/>
      <c r="B134" s="301" t="n"/>
      <c r="C134" s="301" t="n"/>
      <c r="D134" s="301" t="n"/>
      <c r="E134" s="301" t="n"/>
      <c r="F134" s="301" t="n"/>
      <c r="G134" s="301" t="n"/>
      <c r="H134" s="301" t="n"/>
      <c r="I134" s="301" t="n"/>
      <c r="J134" s="301" t="n"/>
      <c r="K134" s="301" t="n"/>
      <c r="L134" s="301" t="n"/>
    </row>
    <row r="135" ht="15" customHeight="1" s="221">
      <c r="A135" s="301" t="n"/>
      <c r="B135" s="301" t="n"/>
      <c r="C135" s="301" t="n"/>
      <c r="D135" s="301" t="n"/>
      <c r="E135" s="301" t="n"/>
      <c r="F135" s="301" t="n"/>
      <c r="G135" s="301" t="n"/>
      <c r="H135" s="301" t="n"/>
      <c r="I135" s="301" t="n"/>
      <c r="J135" s="301" t="n"/>
      <c r="K135" s="301" t="n"/>
      <c r="L135" s="301" t="n"/>
    </row>
    <row r="136" ht="15" customHeight="1" s="221">
      <c r="A136" s="301" t="n"/>
      <c r="B136" s="301" t="n"/>
      <c r="C136" s="301" t="n"/>
      <c r="D136" s="301" t="n"/>
      <c r="E136" s="301" t="n"/>
      <c r="F136" s="301" t="n"/>
      <c r="G136" s="301" t="n"/>
      <c r="H136" s="301" t="n"/>
      <c r="I136" s="301" t="n"/>
      <c r="J136" s="301" t="n"/>
      <c r="K136" s="301" t="n"/>
      <c r="L136" s="301" t="n"/>
    </row>
    <row r="137" ht="15" customHeight="1" s="221">
      <c r="A137" s="301" t="n"/>
      <c r="B137" s="301" t="n"/>
      <c r="C137" s="301" t="n"/>
      <c r="D137" s="301" t="n"/>
      <c r="E137" s="301" t="n"/>
      <c r="F137" s="301" t="n"/>
      <c r="G137" s="301" t="n"/>
      <c r="H137" s="301" t="n"/>
      <c r="I137" s="301" t="n"/>
      <c r="J137" s="301" t="n"/>
      <c r="K137" s="301" t="n"/>
      <c r="L137" s="301" t="n"/>
    </row>
    <row r="138" ht="15" customHeight="1" s="221">
      <c r="A138" s="301" t="n"/>
      <c r="B138" s="301" t="n"/>
      <c r="C138" s="301" t="n"/>
      <c r="D138" s="301" t="n"/>
      <c r="E138" s="301" t="n"/>
      <c r="F138" s="301" t="n"/>
      <c r="G138" s="301" t="n"/>
      <c r="H138" s="301" t="n"/>
      <c r="I138" s="301" t="n"/>
      <c r="J138" s="301" t="n"/>
      <c r="K138" s="301" t="n"/>
      <c r="L138" s="301" t="n"/>
    </row>
    <row r="139" ht="15" customHeight="1" s="221">
      <c r="A139" s="301" t="n"/>
      <c r="B139" s="301" t="n"/>
      <c r="C139" s="301" t="n"/>
      <c r="D139" s="301" t="n"/>
      <c r="E139" s="301" t="n"/>
      <c r="F139" s="301" t="n"/>
      <c r="G139" s="301" t="n"/>
      <c r="H139" s="301" t="n"/>
      <c r="I139" s="301" t="n"/>
      <c r="J139" s="301" t="n"/>
      <c r="K139" s="301" t="n"/>
      <c r="L139" s="301" t="n"/>
    </row>
    <row r="140" ht="15" customHeight="1" s="221">
      <c r="A140" s="301" t="n"/>
      <c r="B140" s="301" t="n"/>
      <c r="C140" s="301" t="n"/>
      <c r="D140" s="301" t="n"/>
      <c r="E140" s="301" t="n"/>
      <c r="F140" s="301" t="n"/>
      <c r="G140" s="301" t="n"/>
      <c r="H140" s="301" t="n"/>
      <c r="I140" s="301" t="n"/>
      <c r="J140" s="301" t="n"/>
      <c r="K140" s="301" t="n"/>
      <c r="L140" s="301" t="n"/>
    </row>
    <row r="141" ht="15" customHeight="1" s="221">
      <c r="A141" s="301" t="n"/>
      <c r="B141" s="301" t="n"/>
      <c r="C141" s="301" t="n"/>
      <c r="D141" s="301" t="n"/>
      <c r="E141" s="301" t="n"/>
      <c r="F141" s="301" t="n"/>
      <c r="G141" s="301" t="n"/>
      <c r="H141" s="301" t="n"/>
      <c r="I141" s="301" t="n"/>
      <c r="J141" s="301" t="n"/>
      <c r="K141" s="301" t="n"/>
      <c r="L141" s="301" t="n"/>
    </row>
    <row r="142" ht="15" customHeight="1" s="221">
      <c r="A142" s="301" t="n"/>
      <c r="B142" s="301" t="n"/>
      <c r="C142" s="301" t="n"/>
      <c r="D142" s="301" t="n"/>
      <c r="E142" s="301" t="n"/>
      <c r="F142" s="301" t="n"/>
      <c r="G142" s="301" t="n"/>
      <c r="H142" s="301" t="n"/>
      <c r="I142" s="301" t="n"/>
      <c r="J142" s="301" t="n"/>
      <c r="K142" s="301" t="n"/>
      <c r="L142" s="301" t="n"/>
    </row>
    <row r="143" ht="15" customHeight="1" s="221">
      <c r="A143" s="301" t="n"/>
      <c r="B143" s="301" t="n"/>
      <c r="C143" s="301" t="n"/>
      <c r="D143" s="301" t="n"/>
      <c r="E143" s="301" t="n"/>
      <c r="F143" s="301" t="n"/>
      <c r="G143" s="301" t="n"/>
      <c r="H143" s="301" t="n"/>
      <c r="I143" s="301" t="n"/>
      <c r="J143" s="301" t="n"/>
      <c r="K143" s="301" t="n"/>
      <c r="L143" s="301" t="n"/>
    </row>
    <row r="144" ht="15" customHeight="1" s="221">
      <c r="A144" s="301" t="n"/>
      <c r="B144" s="301" t="n"/>
      <c r="C144" s="301" t="n"/>
      <c r="D144" s="301" t="n"/>
      <c r="E144" s="301" t="n"/>
      <c r="F144" s="301" t="n"/>
      <c r="G144" s="301" t="n"/>
      <c r="H144" s="301" t="n"/>
      <c r="I144" s="301" t="n"/>
      <c r="J144" s="301" t="n"/>
      <c r="K144" s="301" t="n"/>
      <c r="L144" s="301" t="n"/>
    </row>
    <row r="145" ht="15" customHeight="1" s="221">
      <c r="A145" s="301" t="n"/>
      <c r="B145" s="301" t="n"/>
      <c r="C145" s="301" t="n"/>
      <c r="D145" s="301" t="n"/>
      <c r="E145" s="301" t="n"/>
      <c r="F145" s="301" t="n"/>
      <c r="G145" s="301" t="n"/>
      <c r="H145" s="301" t="n"/>
      <c r="I145" s="301" t="n"/>
      <c r="J145" s="301" t="n"/>
      <c r="K145" s="301" t="n"/>
      <c r="L145" s="301" t="n"/>
    </row>
    <row r="146" ht="15" customHeight="1" s="221">
      <c r="A146" s="301" t="n"/>
      <c r="B146" s="301" t="n"/>
      <c r="C146" s="301" t="n"/>
      <c r="D146" s="301" t="n"/>
      <c r="E146" s="301" t="n"/>
      <c r="F146" s="301" t="n"/>
      <c r="G146" s="301" t="n"/>
      <c r="H146" s="301" t="n"/>
      <c r="I146" s="301" t="n"/>
      <c r="J146" s="301" t="n"/>
      <c r="K146" s="301" t="n"/>
      <c r="L146" s="301" t="n"/>
    </row>
    <row r="147" ht="15" customHeight="1" s="221">
      <c r="A147" s="301" t="n"/>
      <c r="B147" s="301" t="n"/>
      <c r="C147" s="301" t="n"/>
      <c r="D147" s="301" t="n"/>
      <c r="E147" s="301" t="n"/>
      <c r="F147" s="301" t="n"/>
      <c r="G147" s="301" t="n"/>
      <c r="H147" s="301" t="n"/>
      <c r="I147" s="301" t="n"/>
      <c r="J147" s="301" t="n"/>
      <c r="K147" s="301" t="n"/>
      <c r="L147" s="301" t="n"/>
    </row>
    <row r="148" ht="15" customHeight="1" s="221">
      <c r="A148" s="301" t="n"/>
      <c r="B148" s="301" t="n"/>
      <c r="C148" s="301" t="n"/>
      <c r="D148" s="301" t="n"/>
      <c r="E148" s="301" t="n"/>
      <c r="F148" s="301" t="n"/>
      <c r="G148" s="301" t="n"/>
      <c r="H148" s="301" t="n"/>
      <c r="I148" s="301" t="n"/>
      <c r="J148" s="301" t="n"/>
      <c r="K148" s="301" t="n"/>
      <c r="L148" s="301" t="n"/>
    </row>
    <row r="149" ht="15" customHeight="1" s="221">
      <c r="A149" s="301" t="n"/>
      <c r="B149" s="301" t="n"/>
      <c r="C149" s="301" t="n"/>
      <c r="D149" s="301" t="n"/>
      <c r="E149" s="301" t="n"/>
      <c r="F149" s="301" t="n"/>
      <c r="G149" s="301" t="n"/>
      <c r="H149" s="301" t="n"/>
      <c r="I149" s="301" t="n"/>
      <c r="J149" s="301" t="n"/>
      <c r="K149" s="301" t="n"/>
      <c r="L149" s="301" t="n"/>
    </row>
    <row r="150" ht="15" customHeight="1" s="221">
      <c r="A150" s="301" t="n"/>
      <c r="B150" s="301" t="n"/>
      <c r="C150" s="301" t="n"/>
      <c r="D150" s="301" t="n"/>
      <c r="E150" s="301" t="n"/>
      <c r="F150" s="301" t="n"/>
      <c r="G150" s="301" t="n"/>
      <c r="H150" s="301" t="n"/>
      <c r="I150" s="301" t="n"/>
      <c r="J150" s="301" t="n"/>
      <c r="K150" s="301" t="n"/>
      <c r="L150" s="301" t="n"/>
    </row>
  </sheetData>
  <mergeCells count="35">
    <mergeCell ref="G10:I10"/>
    <mergeCell ref="A8:D8"/>
    <mergeCell ref="A73:B73"/>
    <mergeCell ref="A62:D62"/>
    <mergeCell ref="G47:J47"/>
    <mergeCell ref="G54:J54"/>
    <mergeCell ref="A28:D28"/>
    <mergeCell ref="A26:C26"/>
    <mergeCell ref="G40:J40"/>
    <mergeCell ref="J77:K77"/>
    <mergeCell ref="A30:D30"/>
    <mergeCell ref="A51:D51"/>
    <mergeCell ref="A20:C20"/>
    <mergeCell ref="A3:B3"/>
    <mergeCell ref="G3:H3"/>
    <mergeCell ref="G67:J67"/>
    <mergeCell ref="A1:J1"/>
    <mergeCell ref="G8:J8"/>
    <mergeCell ref="G9:I9"/>
    <mergeCell ref="G65:H65"/>
    <mergeCell ref="D4:E4"/>
    <mergeCell ref="A41:D41"/>
    <mergeCell ref="G12:I12"/>
    <mergeCell ref="A17:B17"/>
    <mergeCell ref="D3:E3"/>
    <mergeCell ref="G64:H64"/>
    <mergeCell ref="G28:J28"/>
    <mergeCell ref="A4:B4"/>
    <mergeCell ref="G4:H4"/>
    <mergeCell ref="A72:B72"/>
    <mergeCell ref="A6:C6"/>
    <mergeCell ref="G34:J34"/>
    <mergeCell ref="G30:J30"/>
    <mergeCell ref="A9:B9"/>
    <mergeCell ref="G45:J45"/>
  </mergeCells>
  <conditionalFormatting sqref="B33:B200">
    <cfRule type="expression" rank="0" priority="2" equalAverage="0" aboveAverage="0" dxfId="0" text="" percent="0" bottom="0">
      <formula>$B33="Pagado"</formula>
    </cfRule>
    <cfRule type="expression" rank="0" priority="3" equalAverage="0" aboveAverage="0" dxfId="1" text="" percent="0" bottom="0">
      <formula>$B33="Pendiente"</formula>
    </cfRule>
    <cfRule type="expression" rank="0" priority="4" equalAverage="0" aboveAverage="0" dxfId="2" text="" percent="0" bottom="0">
      <formula>$B33="Cancelado"</formula>
    </cfRule>
  </conditionalFormatting>
  <dataValidations count="2">
    <dataValidation sqref="B33:B200" showDropDown="0" showInputMessage="0" showErrorMessage="0" allowBlank="1" type="list" errorStyle="stop" operator="between">
      <formula1>"Ninguno,Pendiente,Pagado,Cancelado"</formula1>
      <formula2>0</formula2>
    </dataValidation>
    <dataValidation sqref="H31:H62" showDropDown="0" showInputMessage="0" showErrorMessage="0" allowBlank="1" errorTitle="Estado inválido" error="Selecciona un estado válido" type="list">
      <formula1>"Ninguno,Pendiente,Pagado,Cancelado"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tabColor rgb="FF16A085"/>
    <outlinePr summaryBelow="1" summaryRight="1"/>
    <pageSetUpPr fitToPage="0"/>
  </sheetPr>
  <dimension ref="A1:J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2" customWidth="1" style="220" min="1" max="2"/>
    <col width="18" customWidth="1" style="220" min="3" max="3"/>
    <col width="28" customWidth="1" style="220" min="4" max="4"/>
    <col width="14" customWidth="1" style="220" min="5" max="6"/>
    <col width="18" customWidth="1" style="220" min="7" max="8"/>
  </cols>
  <sheetData>
    <row r="1" ht="18" customHeight="1" s="221">
      <c r="A1" s="310" t="inlineStr">
        <is>
          <t>📋 REGISTRO DE MOVIMIENTOS - AGOSTO 2026</t>
        </is>
      </c>
      <c r="I1" s="301" t="n"/>
      <c r="J1" s="301" t="n"/>
    </row>
    <row r="2" ht="15" customHeight="1" s="221">
      <c r="A2" s="301" t="n"/>
      <c r="B2" s="301" t="n"/>
      <c r="C2" s="301" t="n"/>
      <c r="D2" s="301" t="n"/>
      <c r="E2" s="301" t="n"/>
      <c r="F2" s="301" t="n"/>
      <c r="G2" s="301" t="n"/>
      <c r="H2" s="301" t="n"/>
      <c r="I2" s="301" t="n"/>
      <c r="J2" s="301" t="n"/>
    </row>
    <row r="3" ht="15" customHeight="1" s="221">
      <c r="A3" s="311" t="inlineStr">
        <is>
          <t>Fecha</t>
        </is>
      </c>
      <c r="B3" s="312" t="inlineStr">
        <is>
          <t>Tipo</t>
        </is>
      </c>
      <c r="C3" s="312" t="inlineStr">
        <is>
          <t>Categoría</t>
        </is>
      </c>
      <c r="D3" s="311" t="inlineStr">
        <is>
          <t>Descripción</t>
        </is>
      </c>
      <c r="E3" s="311" t="inlineStr">
        <is>
          <t>Ingreso</t>
        </is>
      </c>
      <c r="F3" s="311" t="inlineStr">
        <is>
          <t>Egreso</t>
        </is>
      </c>
      <c r="G3" s="311" t="inlineStr">
        <is>
          <t>Cuenta</t>
        </is>
      </c>
      <c r="H3" s="311" t="inlineStr">
        <is>
          <t>Notas</t>
        </is>
      </c>
      <c r="I3" s="301" t="n"/>
      <c r="J3" s="301" t="n"/>
    </row>
    <row r="4" ht="15" customHeight="1" s="221">
      <c r="A4" s="313" t="n"/>
      <c r="B4" s="314" t="n"/>
      <c r="C4" s="315" t="n"/>
      <c r="D4" s="316" t="n"/>
      <c r="E4" s="317" t="n"/>
      <c r="F4" s="317" t="n"/>
      <c r="G4" s="318" t="n"/>
      <c r="H4" s="316" t="n"/>
      <c r="I4" s="301" t="n"/>
      <c r="J4" s="301" t="n"/>
    </row>
    <row r="5" ht="15" customHeight="1" s="221">
      <c r="A5" s="319" t="n"/>
      <c r="B5" s="320" t="n"/>
      <c r="C5" s="321" t="n"/>
      <c r="D5" s="322" t="n"/>
      <c r="E5" s="323" t="n"/>
      <c r="F5" s="323" t="n"/>
      <c r="G5" s="324" t="n"/>
      <c r="H5" s="322" t="n"/>
      <c r="I5" s="301" t="n"/>
      <c r="J5" s="301" t="n"/>
    </row>
    <row r="6" ht="15" customHeight="1" s="221">
      <c r="A6" s="313" t="n"/>
      <c r="B6" s="314" t="n"/>
      <c r="C6" s="315" t="n"/>
      <c r="D6" s="316" t="n"/>
      <c r="E6" s="317" t="n"/>
      <c r="F6" s="317" t="n"/>
      <c r="G6" s="318" t="n"/>
      <c r="H6" s="316" t="n"/>
      <c r="I6" s="301" t="n"/>
      <c r="J6" s="301" t="n"/>
    </row>
    <row r="7" ht="15" customHeight="1" s="221">
      <c r="A7" s="319" t="n"/>
      <c r="B7" s="320" t="n"/>
      <c r="C7" s="321" t="n"/>
      <c r="D7" s="322" t="n"/>
      <c r="E7" s="323" t="n"/>
      <c r="F7" s="323" t="n"/>
      <c r="G7" s="324" t="n"/>
      <c r="H7" s="322" t="n"/>
      <c r="I7" s="301" t="n"/>
      <c r="J7" s="301" t="n"/>
    </row>
    <row r="8" ht="15" customHeight="1" s="221">
      <c r="A8" s="313" t="n"/>
      <c r="B8" s="314" t="n"/>
      <c r="C8" s="315" t="n"/>
      <c r="D8" s="316" t="n"/>
      <c r="E8" s="317" t="n"/>
      <c r="F8" s="317" t="n"/>
      <c r="G8" s="318" t="n"/>
      <c r="H8" s="316" t="n"/>
      <c r="I8" s="301" t="n"/>
      <c r="J8" s="301" t="n"/>
    </row>
    <row r="9" ht="15" customHeight="1" s="221">
      <c r="A9" s="319" t="n"/>
      <c r="B9" s="320" t="n"/>
      <c r="C9" s="321" t="n"/>
      <c r="D9" s="322" t="n"/>
      <c r="E9" s="323" t="n"/>
      <c r="F9" s="323" t="n"/>
      <c r="G9" s="324" t="n"/>
      <c r="H9" s="322" t="n"/>
      <c r="I9" s="301" t="n"/>
      <c r="J9" s="301" t="n"/>
    </row>
    <row r="10" ht="15" customHeight="1" s="221">
      <c r="A10" s="313" t="n"/>
      <c r="B10" s="314" t="n"/>
      <c r="C10" s="315" t="n"/>
      <c r="D10" s="316" t="n"/>
      <c r="E10" s="317" t="n"/>
      <c r="F10" s="317" t="n"/>
      <c r="G10" s="318" t="n"/>
      <c r="H10" s="316" t="n"/>
      <c r="I10" s="301" t="n"/>
      <c r="J10" s="301" t="n"/>
    </row>
    <row r="11" ht="15" customHeight="1" s="221">
      <c r="A11" s="319" t="n"/>
      <c r="B11" s="320" t="n"/>
      <c r="C11" s="321" t="n"/>
      <c r="D11" s="322" t="n"/>
      <c r="E11" s="323" t="n"/>
      <c r="F11" s="323" t="n"/>
      <c r="G11" s="324" t="n"/>
      <c r="H11" s="322" t="n"/>
      <c r="I11" s="301" t="n"/>
      <c r="J11" s="301" t="n"/>
    </row>
    <row r="12" ht="15" customHeight="1" s="221">
      <c r="A12" s="313" t="n"/>
      <c r="B12" s="314" t="n"/>
      <c r="C12" s="315" t="n"/>
      <c r="D12" s="316" t="n"/>
      <c r="E12" s="317" t="n"/>
      <c r="F12" s="317" t="n"/>
      <c r="G12" s="318" t="n"/>
      <c r="H12" s="316" t="n"/>
      <c r="I12" s="301" t="n"/>
      <c r="J12" s="301" t="n"/>
    </row>
    <row r="13" ht="15" customHeight="1" s="221">
      <c r="A13" s="319" t="n"/>
      <c r="B13" s="320" t="n"/>
      <c r="C13" s="321" t="n"/>
      <c r="D13" s="322" t="n"/>
      <c r="E13" s="323" t="n"/>
      <c r="F13" s="323" t="n"/>
      <c r="G13" s="324" t="n"/>
      <c r="H13" s="322" t="n"/>
      <c r="I13" s="301" t="n"/>
      <c r="J13" s="301" t="n"/>
    </row>
    <row r="14" ht="15" customHeight="1" s="221">
      <c r="A14" s="313" t="n"/>
      <c r="B14" s="314" t="n"/>
      <c r="C14" s="315" t="n"/>
      <c r="D14" s="316" t="n"/>
      <c r="E14" s="317" t="n"/>
      <c r="F14" s="317" t="n"/>
      <c r="G14" s="318" t="n"/>
      <c r="H14" s="316" t="n"/>
      <c r="I14" s="301" t="n"/>
      <c r="J14" s="301" t="n"/>
    </row>
    <row r="15" ht="15" customHeight="1" s="221">
      <c r="A15" s="319" t="n"/>
      <c r="B15" s="320" t="n"/>
      <c r="C15" s="321" t="n"/>
      <c r="D15" s="322" t="n"/>
      <c r="E15" s="323" t="n"/>
      <c r="F15" s="323" t="n"/>
      <c r="G15" s="324" t="n"/>
      <c r="H15" s="322" t="n"/>
      <c r="I15" s="301" t="n"/>
      <c r="J15" s="301" t="n"/>
    </row>
    <row r="16" ht="15" customHeight="1" s="221">
      <c r="A16" s="313" t="n"/>
      <c r="B16" s="314" t="n"/>
      <c r="C16" s="315" t="n"/>
      <c r="D16" s="316" t="n"/>
      <c r="E16" s="317" t="n"/>
      <c r="F16" s="317" t="n"/>
      <c r="G16" s="318" t="n"/>
      <c r="H16" s="316" t="n"/>
      <c r="I16" s="301" t="n"/>
      <c r="J16" s="301" t="n"/>
    </row>
    <row r="17" ht="15" customHeight="1" s="221">
      <c r="A17" s="319" t="n"/>
      <c r="B17" s="320" t="n"/>
      <c r="C17" s="321" t="n"/>
      <c r="D17" s="322" t="n"/>
      <c r="E17" s="323" t="n"/>
      <c r="F17" s="323" t="n"/>
      <c r="G17" s="324" t="n"/>
      <c r="H17" s="322" t="n"/>
      <c r="I17" s="301" t="n"/>
      <c r="J17" s="301" t="n"/>
    </row>
    <row r="18" ht="15" customHeight="1" s="221">
      <c r="A18" s="313" t="n"/>
      <c r="B18" s="314" t="n"/>
      <c r="C18" s="315" t="n"/>
      <c r="D18" s="316" t="n"/>
      <c r="E18" s="317" t="n"/>
      <c r="F18" s="317" t="n"/>
      <c r="G18" s="318" t="n"/>
      <c r="H18" s="316" t="n"/>
      <c r="I18" s="301" t="n"/>
      <c r="J18" s="301" t="n"/>
    </row>
    <row r="19" ht="15" customHeight="1" s="221">
      <c r="A19" s="319" t="n"/>
      <c r="B19" s="320" t="n"/>
      <c r="C19" s="321" t="n"/>
      <c r="D19" s="322" t="n"/>
      <c r="E19" s="323" t="n"/>
      <c r="F19" s="323" t="n"/>
      <c r="G19" s="324" t="n"/>
      <c r="H19" s="322" t="n"/>
      <c r="I19" s="301" t="n"/>
      <c r="J19" s="301" t="n"/>
    </row>
    <row r="20" ht="15" customHeight="1" s="221">
      <c r="A20" s="313" t="n"/>
      <c r="B20" s="314" t="n"/>
      <c r="C20" s="315" t="n"/>
      <c r="D20" s="316" t="n"/>
      <c r="E20" s="317" t="n"/>
      <c r="F20" s="317" t="n"/>
      <c r="G20" s="318" t="n"/>
      <c r="H20" s="316" t="n"/>
      <c r="I20" s="301" t="n"/>
      <c r="J20" s="301" t="n"/>
    </row>
    <row r="21" ht="15" customHeight="1" s="221">
      <c r="A21" s="319" t="n"/>
      <c r="B21" s="320" t="n"/>
      <c r="C21" s="321" t="n"/>
      <c r="D21" s="322" t="n"/>
      <c r="E21" s="323" t="n"/>
      <c r="F21" s="323" t="n"/>
      <c r="G21" s="324" t="n"/>
      <c r="H21" s="322" t="n"/>
      <c r="I21" s="301" t="n"/>
      <c r="J21" s="301" t="n"/>
    </row>
    <row r="22" ht="15" customHeight="1" s="221">
      <c r="A22" s="313" t="n"/>
      <c r="B22" s="314" t="n"/>
      <c r="C22" s="315" t="n"/>
      <c r="D22" s="316" t="n"/>
      <c r="E22" s="317" t="n"/>
      <c r="F22" s="317" t="n"/>
      <c r="G22" s="318" t="n"/>
      <c r="H22" s="316" t="n"/>
      <c r="I22" s="301" t="n"/>
      <c r="J22" s="301" t="n"/>
    </row>
    <row r="23" ht="15" customHeight="1" s="221">
      <c r="A23" s="319" t="n"/>
      <c r="B23" s="320" t="n"/>
      <c r="C23" s="321" t="n"/>
      <c r="D23" s="322" t="n"/>
      <c r="E23" s="323" t="n"/>
      <c r="F23" s="323" t="n"/>
      <c r="G23" s="324" t="n"/>
      <c r="H23" s="322" t="n"/>
      <c r="I23" s="301" t="n"/>
      <c r="J23" s="301" t="n"/>
    </row>
    <row r="24" ht="15" customHeight="1" s="221">
      <c r="A24" s="313" t="n"/>
      <c r="B24" s="318" t="n"/>
      <c r="C24" s="315" t="n"/>
      <c r="D24" s="316" t="n"/>
      <c r="E24" s="317" t="n"/>
      <c r="F24" s="317" t="n"/>
      <c r="G24" s="318" t="n"/>
      <c r="H24" s="316" t="n"/>
      <c r="I24" s="301" t="n"/>
      <c r="J24" s="301" t="n"/>
    </row>
    <row r="25" ht="15" customHeight="1" s="221">
      <c r="A25" s="319" t="n"/>
      <c r="B25" s="324" t="n"/>
      <c r="C25" s="321" t="n"/>
      <c r="D25" s="322" t="n"/>
      <c r="E25" s="323" t="n"/>
      <c r="F25" s="323" t="n"/>
      <c r="G25" s="324" t="n"/>
      <c r="H25" s="322" t="n"/>
      <c r="I25" s="301" t="n"/>
      <c r="J25" s="301" t="n"/>
    </row>
    <row r="26" ht="15" customHeight="1" s="221">
      <c r="A26" s="313" t="n"/>
      <c r="B26" s="318" t="n"/>
      <c r="C26" s="315" t="n"/>
      <c r="D26" s="316" t="n"/>
      <c r="E26" s="317" t="n"/>
      <c r="F26" s="317" t="n"/>
      <c r="G26" s="318" t="n"/>
      <c r="H26" s="316" t="n"/>
      <c r="I26" s="301" t="n"/>
      <c r="J26" s="301" t="n"/>
    </row>
    <row r="27" ht="15" customHeight="1" s="221">
      <c r="A27" s="319" t="n"/>
      <c r="B27" s="324" t="n"/>
      <c r="C27" s="321" t="n"/>
      <c r="D27" s="322" t="n"/>
      <c r="E27" s="323" t="n"/>
      <c r="F27" s="323" t="n"/>
      <c r="G27" s="324" t="n"/>
      <c r="H27" s="322" t="n"/>
      <c r="I27" s="301" t="n"/>
      <c r="J27" s="301" t="n"/>
    </row>
    <row r="28" ht="15" customHeight="1" s="221">
      <c r="A28" s="313" t="n"/>
      <c r="B28" s="318" t="n"/>
      <c r="C28" s="315" t="n"/>
      <c r="D28" s="316" t="n"/>
      <c r="E28" s="317" t="n"/>
      <c r="F28" s="317" t="n"/>
      <c r="G28" s="318" t="n"/>
      <c r="H28" s="316" t="n"/>
      <c r="I28" s="301" t="n"/>
      <c r="J28" s="301" t="n"/>
    </row>
    <row r="29" ht="15" customHeight="1" s="221">
      <c r="A29" s="319" t="n"/>
      <c r="B29" s="324" t="n"/>
      <c r="C29" s="321" t="n"/>
      <c r="D29" s="322" t="n"/>
      <c r="E29" s="323" t="n"/>
      <c r="F29" s="323" t="n"/>
      <c r="G29" s="324" t="n"/>
      <c r="H29" s="322" t="n"/>
      <c r="I29" s="301" t="n"/>
      <c r="J29" s="301" t="n"/>
    </row>
    <row r="30" ht="15" customHeight="1" s="221">
      <c r="A30" s="313" t="n"/>
      <c r="B30" s="318" t="n"/>
      <c r="C30" s="315" t="n"/>
      <c r="D30" s="316" t="n"/>
      <c r="E30" s="317" t="n"/>
      <c r="F30" s="317" t="n"/>
      <c r="G30" s="318" t="n"/>
      <c r="H30" s="316" t="n"/>
      <c r="I30" s="301" t="n"/>
      <c r="J30" s="301" t="n"/>
    </row>
    <row r="31" ht="15" customHeight="1" s="221">
      <c r="A31" s="319" t="n"/>
      <c r="B31" s="324" t="n"/>
      <c r="C31" s="321" t="n"/>
      <c r="D31" s="322" t="n"/>
      <c r="E31" s="323" t="n"/>
      <c r="F31" s="323" t="n"/>
      <c r="G31" s="324" t="n"/>
      <c r="H31" s="322" t="n"/>
      <c r="I31" s="301" t="n"/>
      <c r="J31" s="301" t="n"/>
    </row>
    <row r="32" ht="15" customHeight="1" s="221">
      <c r="A32" s="313" t="n"/>
      <c r="B32" s="318" t="n"/>
      <c r="C32" s="315" t="n"/>
      <c r="D32" s="316" t="n"/>
      <c r="E32" s="317" t="n"/>
      <c r="F32" s="317" t="n"/>
      <c r="G32" s="318" t="n"/>
      <c r="H32" s="316" t="n"/>
      <c r="I32" s="301" t="n"/>
      <c r="J32" s="301" t="n"/>
    </row>
    <row r="33" ht="15" customHeight="1" s="221">
      <c r="A33" s="319" t="n"/>
      <c r="B33" s="324" t="n"/>
      <c r="C33" s="321" t="n"/>
      <c r="D33" s="322" t="n"/>
      <c r="E33" s="323" t="n"/>
      <c r="F33" s="323" t="n"/>
      <c r="G33" s="324" t="n"/>
      <c r="H33" s="322" t="n"/>
      <c r="I33" s="301" t="n"/>
      <c r="J33" s="301" t="n"/>
    </row>
    <row r="34" ht="15" customHeight="1" s="221">
      <c r="A34" s="313" t="n"/>
      <c r="B34" s="318" t="n"/>
      <c r="C34" s="315" t="n"/>
      <c r="D34" s="316" t="n"/>
      <c r="E34" s="317" t="n"/>
      <c r="F34" s="317" t="n"/>
      <c r="G34" s="318" t="n"/>
      <c r="H34" s="316" t="n"/>
      <c r="I34" s="301" t="n"/>
      <c r="J34" s="301" t="n"/>
    </row>
    <row r="35" ht="15" customHeight="1" s="221">
      <c r="A35" s="319" t="n"/>
      <c r="B35" s="324" t="n"/>
      <c r="C35" s="322" t="n"/>
      <c r="D35" s="322" t="n"/>
      <c r="E35" s="323" t="n"/>
      <c r="F35" s="323" t="n"/>
      <c r="G35" s="324" t="n"/>
      <c r="H35" s="322" t="n"/>
      <c r="I35" s="301" t="n"/>
      <c r="J35" s="301" t="n"/>
    </row>
    <row r="36" ht="15" customHeight="1" s="221">
      <c r="A36" s="313" t="n"/>
      <c r="B36" s="318" t="n"/>
      <c r="C36" s="316" t="n"/>
      <c r="D36" s="316" t="n"/>
      <c r="E36" s="317" t="n"/>
      <c r="F36" s="317" t="n"/>
      <c r="G36" s="318" t="n"/>
      <c r="H36" s="316" t="n"/>
      <c r="I36" s="301" t="n"/>
      <c r="J36" s="301" t="n"/>
    </row>
    <row r="37" ht="15" customHeight="1" s="221">
      <c r="A37" s="319" t="n"/>
      <c r="B37" s="324" t="n"/>
      <c r="C37" s="322" t="n"/>
      <c r="D37" s="322" t="n"/>
      <c r="E37" s="323" t="n"/>
      <c r="F37" s="323" t="n"/>
      <c r="G37" s="324" t="n"/>
      <c r="H37" s="322" t="n"/>
      <c r="I37" s="301" t="n"/>
      <c r="J37" s="301" t="n"/>
    </row>
    <row r="38" ht="15" customHeight="1" s="221">
      <c r="A38" s="313" t="n"/>
      <c r="B38" s="318" t="n"/>
      <c r="C38" s="316" t="n"/>
      <c r="D38" s="316" t="n"/>
      <c r="E38" s="317" t="n"/>
      <c r="F38" s="317" t="n"/>
      <c r="G38" s="318" t="n"/>
      <c r="H38" s="316" t="n"/>
      <c r="I38" s="301" t="n"/>
      <c r="J38" s="301" t="n"/>
    </row>
    <row r="39" ht="15" customHeight="1" s="221">
      <c r="A39" s="319" t="n"/>
      <c r="B39" s="324" t="n"/>
      <c r="C39" s="322" t="n"/>
      <c r="D39" s="322" t="n"/>
      <c r="E39" s="323" t="n"/>
      <c r="F39" s="323" t="n"/>
      <c r="G39" s="324" t="n"/>
      <c r="H39" s="322" t="n"/>
      <c r="I39" s="301" t="n"/>
      <c r="J39" s="301" t="n"/>
    </row>
    <row r="40" ht="15" customHeight="1" s="221">
      <c r="A40" s="313" t="n"/>
      <c r="B40" s="318" t="n"/>
      <c r="C40" s="316" t="n"/>
      <c r="D40" s="316" t="n"/>
      <c r="E40" s="317" t="n"/>
      <c r="F40" s="317" t="n"/>
      <c r="G40" s="318" t="n"/>
      <c r="H40" s="316" t="n"/>
      <c r="I40" s="301" t="n"/>
      <c r="J40" s="301" t="n"/>
    </row>
    <row r="41" ht="15" customHeight="1" s="221">
      <c r="A41" s="319" t="n"/>
      <c r="B41" s="324" t="n"/>
      <c r="C41" s="322" t="n"/>
      <c r="D41" s="322" t="n"/>
      <c r="E41" s="323" t="n"/>
      <c r="F41" s="323" t="n"/>
      <c r="G41" s="324" t="n"/>
      <c r="H41" s="322" t="n"/>
      <c r="I41" s="301" t="n"/>
      <c r="J41" s="301" t="n"/>
    </row>
    <row r="42" ht="15" customHeight="1" s="221">
      <c r="A42" s="313" t="n"/>
      <c r="B42" s="318" t="n"/>
      <c r="C42" s="316" t="n"/>
      <c r="D42" s="316" t="n"/>
      <c r="E42" s="317" t="n"/>
      <c r="F42" s="317" t="n"/>
      <c r="G42" s="318" t="n"/>
      <c r="H42" s="316" t="n"/>
      <c r="I42" s="301" t="n"/>
      <c r="J42" s="301" t="n"/>
    </row>
    <row r="43" ht="15" customHeight="1" s="221">
      <c r="A43" s="319" t="n"/>
      <c r="B43" s="324" t="n"/>
      <c r="C43" s="322" t="n"/>
      <c r="D43" s="322" t="n"/>
      <c r="E43" s="323" t="n"/>
      <c r="F43" s="323" t="n"/>
      <c r="G43" s="324" t="n"/>
      <c r="H43" s="322" t="n"/>
      <c r="I43" s="301" t="n"/>
      <c r="J43" s="301" t="n"/>
    </row>
    <row r="44" ht="15" customHeight="1" s="221">
      <c r="A44" s="313" t="n"/>
      <c r="B44" s="318" t="n"/>
      <c r="C44" s="316" t="n"/>
      <c r="D44" s="316" t="n"/>
      <c r="E44" s="317" t="n"/>
      <c r="F44" s="317" t="n"/>
      <c r="G44" s="318" t="n"/>
      <c r="H44" s="316" t="n"/>
      <c r="I44" s="301" t="n"/>
      <c r="J44" s="301" t="n"/>
    </row>
    <row r="45" ht="15" customHeight="1" s="221">
      <c r="A45" s="319" t="n"/>
      <c r="B45" s="324" t="n"/>
      <c r="C45" s="322" t="n"/>
      <c r="D45" s="322" t="n"/>
      <c r="E45" s="323" t="n"/>
      <c r="F45" s="323" t="n"/>
      <c r="G45" s="324" t="n"/>
      <c r="H45" s="322" t="n"/>
      <c r="I45" s="301" t="n"/>
      <c r="J45" s="301" t="n"/>
    </row>
    <row r="46" ht="15" customHeight="1" s="221">
      <c r="A46" s="313" t="n"/>
      <c r="B46" s="318" t="n"/>
      <c r="C46" s="316" t="n"/>
      <c r="D46" s="316" t="n"/>
      <c r="E46" s="317" t="n"/>
      <c r="F46" s="317" t="n"/>
      <c r="G46" s="318" t="n"/>
      <c r="H46" s="316" t="n"/>
      <c r="I46" s="301" t="n"/>
      <c r="J46" s="301" t="n"/>
    </row>
    <row r="47" ht="15" customHeight="1" s="221">
      <c r="A47" s="319" t="n"/>
      <c r="B47" s="324" t="n"/>
      <c r="C47" s="322" t="n"/>
      <c r="D47" s="322" t="n"/>
      <c r="E47" s="323" t="n"/>
      <c r="F47" s="323" t="n"/>
      <c r="G47" s="324" t="n"/>
      <c r="H47" s="322" t="n"/>
      <c r="I47" s="301" t="n"/>
      <c r="J47" s="301" t="n"/>
    </row>
    <row r="48" ht="15" customHeight="1" s="221">
      <c r="A48" s="313" t="n"/>
      <c r="B48" s="318" t="n"/>
      <c r="C48" s="316" t="n"/>
      <c r="D48" s="316" t="n"/>
      <c r="E48" s="317" t="n"/>
      <c r="F48" s="317" t="n"/>
      <c r="G48" s="318" t="n"/>
      <c r="H48" s="316" t="n"/>
      <c r="I48" s="301" t="n"/>
      <c r="J48" s="301" t="n"/>
    </row>
    <row r="49" ht="15" customHeight="1" s="221">
      <c r="A49" s="319" t="n"/>
      <c r="B49" s="324" t="n"/>
      <c r="C49" s="322" t="n"/>
      <c r="D49" s="322" t="n"/>
      <c r="E49" s="323" t="n"/>
      <c r="F49" s="323" t="n"/>
      <c r="G49" s="324" t="n"/>
      <c r="H49" s="322" t="n"/>
      <c r="I49" s="301" t="n"/>
      <c r="J49" s="301" t="n"/>
    </row>
    <row r="50" ht="15" customHeight="1" s="221">
      <c r="A50" s="313" t="n"/>
      <c r="B50" s="318" t="n"/>
      <c r="C50" s="316" t="n"/>
      <c r="D50" s="316" t="n"/>
      <c r="E50" s="317" t="n"/>
      <c r="F50" s="317" t="n"/>
      <c r="G50" s="318" t="n"/>
      <c r="H50" s="316" t="n"/>
      <c r="I50" s="301" t="n"/>
      <c r="J50" s="301" t="n"/>
    </row>
    <row r="51" ht="15" customHeight="1" s="221">
      <c r="A51" s="319" t="n"/>
      <c r="B51" s="324" t="n"/>
      <c r="C51" s="322" t="n"/>
      <c r="D51" s="322" t="n"/>
      <c r="E51" s="323" t="n"/>
      <c r="F51" s="323" t="n"/>
      <c r="G51" s="324" t="n"/>
      <c r="H51" s="322" t="n"/>
      <c r="I51" s="301" t="n"/>
      <c r="J51" s="301" t="n"/>
    </row>
    <row r="52" ht="15" customHeight="1" s="221">
      <c r="A52" s="313" t="n"/>
      <c r="B52" s="318" t="n"/>
      <c r="C52" s="316" t="n"/>
      <c r="D52" s="316" t="n"/>
      <c r="E52" s="317" t="n"/>
      <c r="F52" s="317" t="n"/>
      <c r="G52" s="318" t="n"/>
      <c r="H52" s="316" t="n"/>
      <c r="I52" s="301" t="n"/>
      <c r="J52" s="301" t="n"/>
    </row>
    <row r="53" ht="15" customHeight="1" s="221">
      <c r="A53" s="319" t="n"/>
      <c r="B53" s="324" t="n"/>
      <c r="C53" s="322" t="n"/>
      <c r="D53" s="322" t="n"/>
      <c r="E53" s="323" t="n"/>
      <c r="F53" s="323" t="n"/>
      <c r="G53" s="324" t="n"/>
      <c r="H53" s="322" t="n"/>
      <c r="I53" s="301" t="n"/>
      <c r="J53" s="301" t="n"/>
    </row>
    <row r="54" ht="15" customHeight="1" s="221">
      <c r="A54" s="313" t="n"/>
      <c r="B54" s="318" t="n"/>
      <c r="C54" s="316" t="n"/>
      <c r="D54" s="316" t="n"/>
      <c r="E54" s="317" t="n"/>
      <c r="F54" s="317" t="n"/>
      <c r="G54" s="318" t="n"/>
      <c r="H54" s="316" t="n"/>
      <c r="I54" s="301" t="n"/>
      <c r="J54" s="301" t="n"/>
    </row>
    <row r="55" ht="15" customHeight="1" s="221">
      <c r="A55" s="319" t="n"/>
      <c r="B55" s="324" t="n"/>
      <c r="C55" s="322" t="n"/>
      <c r="D55" s="322" t="n"/>
      <c r="E55" s="323" t="n"/>
      <c r="F55" s="323" t="n"/>
      <c r="G55" s="324" t="n"/>
      <c r="H55" s="322" t="n"/>
      <c r="I55" s="301" t="n"/>
      <c r="J55" s="301" t="n"/>
    </row>
    <row r="56" ht="15" customHeight="1" s="221">
      <c r="A56" s="313" t="n"/>
      <c r="B56" s="318" t="n"/>
      <c r="C56" s="316" t="n"/>
      <c r="D56" s="316" t="n"/>
      <c r="E56" s="317" t="n"/>
      <c r="F56" s="317" t="n"/>
      <c r="G56" s="318" t="n"/>
      <c r="H56" s="316" t="n"/>
      <c r="I56" s="301" t="n"/>
      <c r="J56" s="301" t="n"/>
    </row>
    <row r="57" ht="15" customHeight="1" s="221">
      <c r="A57" s="319" t="n"/>
      <c r="B57" s="324" t="n"/>
      <c r="C57" s="322" t="n"/>
      <c r="D57" s="322" t="n"/>
      <c r="E57" s="323" t="n"/>
      <c r="F57" s="323" t="n"/>
      <c r="G57" s="324" t="n"/>
      <c r="H57" s="322" t="n"/>
      <c r="I57" s="301" t="n"/>
      <c r="J57" s="301" t="n"/>
    </row>
    <row r="58" ht="15" customHeight="1" s="221">
      <c r="A58" s="313" t="n"/>
      <c r="B58" s="318" t="n"/>
      <c r="C58" s="316" t="n"/>
      <c r="D58" s="316" t="n"/>
      <c r="E58" s="317" t="n"/>
      <c r="F58" s="317" t="n"/>
      <c r="G58" s="318" t="n"/>
      <c r="H58" s="316" t="n"/>
      <c r="I58" s="301" t="n"/>
      <c r="J58" s="301" t="n"/>
    </row>
    <row r="59" ht="15" customHeight="1" s="221">
      <c r="A59" s="319" t="n"/>
      <c r="B59" s="324" t="n"/>
      <c r="C59" s="322" t="n"/>
      <c r="D59" s="322" t="n"/>
      <c r="E59" s="323" t="n"/>
      <c r="F59" s="323" t="n"/>
      <c r="G59" s="324" t="n"/>
      <c r="H59" s="322" t="n"/>
      <c r="I59" s="301" t="n"/>
      <c r="J59" s="301" t="n"/>
    </row>
    <row r="60" ht="15" customHeight="1" s="221">
      <c r="A60" s="313" t="n"/>
      <c r="B60" s="318" t="n"/>
      <c r="C60" s="316" t="n"/>
      <c r="D60" s="316" t="n"/>
      <c r="E60" s="317" t="n"/>
      <c r="F60" s="317" t="n"/>
      <c r="G60" s="318" t="n"/>
      <c r="H60" s="316" t="n"/>
      <c r="I60" s="301" t="n"/>
      <c r="J60" s="301" t="n"/>
    </row>
    <row r="61" ht="15" customHeight="1" s="221">
      <c r="A61" s="319" t="n"/>
      <c r="B61" s="324" t="n"/>
      <c r="C61" s="322" t="n"/>
      <c r="D61" s="322" t="n"/>
      <c r="E61" s="323" t="n"/>
      <c r="F61" s="323" t="n"/>
      <c r="G61" s="324" t="n"/>
      <c r="H61" s="322" t="n"/>
      <c r="I61" s="301" t="n"/>
      <c r="J61" s="301" t="n"/>
    </row>
    <row r="62" ht="15" customHeight="1" s="221">
      <c r="A62" s="313" t="n"/>
      <c r="B62" s="318" t="n"/>
      <c r="C62" s="316" t="n"/>
      <c r="D62" s="316" t="n"/>
      <c r="E62" s="317" t="n"/>
      <c r="F62" s="317" t="n"/>
      <c r="G62" s="318" t="n"/>
      <c r="H62" s="316" t="n"/>
      <c r="I62" s="301" t="n"/>
      <c r="J62" s="301" t="n"/>
    </row>
    <row r="63" ht="15" customHeight="1" s="221">
      <c r="A63" s="319" t="n"/>
      <c r="B63" s="324" t="n"/>
      <c r="C63" s="322" t="n"/>
      <c r="D63" s="322" t="n"/>
      <c r="E63" s="323" t="n"/>
      <c r="F63" s="323" t="n"/>
      <c r="G63" s="324" t="n"/>
      <c r="H63" s="322" t="n"/>
      <c r="I63" s="301" t="n"/>
      <c r="J63" s="301" t="n"/>
    </row>
    <row r="64" ht="15" customHeight="1" s="221">
      <c r="A64" s="313" t="n"/>
      <c r="B64" s="318" t="n"/>
      <c r="C64" s="316" t="n"/>
      <c r="D64" s="316" t="n"/>
      <c r="E64" s="317" t="n"/>
      <c r="F64" s="317" t="n"/>
      <c r="G64" s="318" t="n"/>
      <c r="H64" s="316" t="n"/>
      <c r="I64" s="301" t="n"/>
      <c r="J64" s="301" t="n"/>
    </row>
    <row r="65" ht="15" customHeight="1" s="221">
      <c r="A65" s="319" t="n"/>
      <c r="B65" s="324" t="n"/>
      <c r="C65" s="322" t="n"/>
      <c r="D65" s="322" t="n"/>
      <c r="E65" s="323" t="n"/>
      <c r="F65" s="323" t="n"/>
      <c r="G65" s="324" t="n"/>
      <c r="H65" s="322" t="n"/>
      <c r="I65" s="301" t="n"/>
      <c r="J65" s="301" t="n"/>
    </row>
    <row r="66" ht="15" customHeight="1" s="221">
      <c r="A66" s="313" t="n"/>
      <c r="B66" s="318" t="n"/>
      <c r="C66" s="316" t="n"/>
      <c r="D66" s="316" t="n"/>
      <c r="E66" s="317" t="n"/>
      <c r="F66" s="317" t="n"/>
      <c r="G66" s="318" t="n"/>
      <c r="H66" s="316" t="n"/>
      <c r="I66" s="301" t="n"/>
      <c r="J66" s="301" t="n"/>
    </row>
    <row r="67" ht="15" customHeight="1" s="221">
      <c r="A67" s="319" t="n"/>
      <c r="B67" s="324" t="n"/>
      <c r="C67" s="322" t="n"/>
      <c r="D67" s="322" t="n"/>
      <c r="E67" s="323" t="n"/>
      <c r="F67" s="323" t="n"/>
      <c r="G67" s="324" t="n"/>
      <c r="H67" s="322" t="n"/>
      <c r="I67" s="301" t="n"/>
      <c r="J67" s="301" t="n"/>
    </row>
    <row r="68" ht="15" customHeight="1" s="221">
      <c r="A68" s="313" t="n"/>
      <c r="B68" s="318" t="n"/>
      <c r="C68" s="316" t="n"/>
      <c r="D68" s="316" t="n"/>
      <c r="E68" s="317" t="n"/>
      <c r="F68" s="317" t="n"/>
      <c r="G68" s="318" t="n"/>
      <c r="H68" s="316" t="n"/>
      <c r="I68" s="301" t="n"/>
      <c r="J68" s="301" t="n"/>
    </row>
    <row r="69" ht="15" customHeight="1" s="221">
      <c r="A69" s="319" t="n"/>
      <c r="B69" s="324" t="n"/>
      <c r="C69" s="322" t="n"/>
      <c r="D69" s="322" t="n"/>
      <c r="E69" s="323" t="n"/>
      <c r="F69" s="323" t="n"/>
      <c r="G69" s="324" t="n"/>
      <c r="H69" s="322" t="n"/>
      <c r="I69" s="301" t="n"/>
      <c r="J69" s="301" t="n"/>
    </row>
    <row r="70" ht="15" customHeight="1" s="221">
      <c r="A70" s="313" t="n"/>
      <c r="B70" s="318" t="n"/>
      <c r="C70" s="316" t="n"/>
      <c r="D70" s="316" t="n"/>
      <c r="E70" s="317" t="n"/>
      <c r="F70" s="317" t="n"/>
      <c r="G70" s="318" t="n"/>
      <c r="H70" s="316" t="n"/>
      <c r="I70" s="301" t="n"/>
      <c r="J70" s="301" t="n"/>
    </row>
    <row r="71" ht="15" customHeight="1" s="221">
      <c r="A71" s="319" t="n"/>
      <c r="B71" s="324" t="n"/>
      <c r="C71" s="322" t="n"/>
      <c r="D71" s="322" t="n"/>
      <c r="E71" s="323" t="n"/>
      <c r="F71" s="323" t="n"/>
      <c r="G71" s="324" t="n"/>
      <c r="H71" s="322" t="n"/>
      <c r="I71" s="301" t="n"/>
      <c r="J71" s="301" t="n"/>
    </row>
    <row r="72" ht="15" customHeight="1" s="221">
      <c r="A72" s="313" t="n"/>
      <c r="B72" s="318" t="n"/>
      <c r="C72" s="316" t="n"/>
      <c r="D72" s="316" t="n"/>
      <c r="E72" s="317" t="n"/>
      <c r="F72" s="317" t="n"/>
      <c r="G72" s="318" t="n"/>
      <c r="H72" s="316" t="n"/>
      <c r="I72" s="301" t="n"/>
      <c r="J72" s="301" t="n"/>
    </row>
    <row r="73" ht="15" customHeight="1" s="221">
      <c r="A73" s="319" t="n"/>
      <c r="B73" s="324" t="n"/>
      <c r="C73" s="322" t="n"/>
      <c r="D73" s="322" t="n"/>
      <c r="E73" s="323" t="n"/>
      <c r="F73" s="323" t="n"/>
      <c r="G73" s="324" t="n"/>
      <c r="H73" s="322" t="n"/>
      <c r="I73" s="301" t="n"/>
      <c r="J73" s="301" t="n"/>
    </row>
    <row r="74" ht="15" customHeight="1" s="221">
      <c r="A74" s="313" t="n"/>
      <c r="B74" s="318" t="n"/>
      <c r="C74" s="316" t="n"/>
      <c r="D74" s="316" t="n"/>
      <c r="E74" s="317" t="n"/>
      <c r="F74" s="317" t="n"/>
      <c r="G74" s="318" t="n"/>
      <c r="H74" s="316" t="n"/>
      <c r="I74" s="301" t="n"/>
      <c r="J74" s="301" t="n"/>
    </row>
    <row r="75" ht="15" customHeight="1" s="221">
      <c r="A75" s="319" t="n"/>
      <c r="B75" s="324" t="n"/>
      <c r="C75" s="322" t="n"/>
      <c r="D75" s="322" t="n"/>
      <c r="E75" s="323" t="n"/>
      <c r="F75" s="323" t="n"/>
      <c r="G75" s="324" t="n"/>
      <c r="H75" s="322" t="n"/>
      <c r="I75" s="301" t="n"/>
      <c r="J75" s="301" t="n"/>
    </row>
    <row r="76" ht="15" customHeight="1" s="221">
      <c r="A76" s="313" t="n"/>
      <c r="B76" s="318" t="n"/>
      <c r="C76" s="316" t="n"/>
      <c r="D76" s="316" t="n"/>
      <c r="E76" s="317" t="n"/>
      <c r="F76" s="317" t="n"/>
      <c r="G76" s="318" t="n"/>
      <c r="H76" s="316" t="n"/>
      <c r="I76" s="301" t="n"/>
      <c r="J76" s="301" t="n"/>
    </row>
    <row r="77" ht="15" customHeight="1" s="221">
      <c r="A77" s="319" t="n"/>
      <c r="B77" s="324" t="n"/>
      <c r="C77" s="322" t="n"/>
      <c r="D77" s="322" t="n"/>
      <c r="E77" s="323" t="n"/>
      <c r="F77" s="323" t="n"/>
      <c r="G77" s="324" t="n"/>
      <c r="H77" s="322" t="n"/>
      <c r="I77" s="301" t="n"/>
      <c r="J77" s="301" t="n"/>
    </row>
    <row r="78" ht="15" customHeight="1" s="221">
      <c r="A78" s="313" t="n"/>
      <c r="B78" s="318" t="n"/>
      <c r="C78" s="316" t="n"/>
      <c r="D78" s="316" t="n"/>
      <c r="E78" s="317" t="n"/>
      <c r="F78" s="317" t="n"/>
      <c r="G78" s="318" t="n"/>
      <c r="H78" s="316" t="n"/>
      <c r="I78" s="301" t="n"/>
      <c r="J78" s="301" t="n"/>
    </row>
    <row r="79" ht="15" customHeight="1" s="221">
      <c r="A79" s="319" t="n"/>
      <c r="B79" s="324" t="n"/>
      <c r="C79" s="322" t="n"/>
      <c r="D79" s="322" t="n"/>
      <c r="E79" s="323" t="n"/>
      <c r="F79" s="323" t="n"/>
      <c r="G79" s="324" t="n"/>
      <c r="H79" s="322" t="n"/>
      <c r="I79" s="301" t="n"/>
      <c r="J79" s="301" t="n"/>
    </row>
    <row r="80" ht="15" customHeight="1" s="221">
      <c r="A80" s="313" t="n"/>
      <c r="B80" s="318" t="n"/>
      <c r="C80" s="316" t="n"/>
      <c r="D80" s="316" t="n"/>
      <c r="E80" s="317" t="n"/>
      <c r="F80" s="317" t="n"/>
      <c r="G80" s="318" t="n"/>
      <c r="H80" s="316" t="n"/>
      <c r="I80" s="301" t="n"/>
      <c r="J80" s="301" t="n"/>
    </row>
    <row r="81" ht="15" customHeight="1" s="221">
      <c r="A81" s="319" t="n"/>
      <c r="B81" s="324" t="n"/>
      <c r="C81" s="322" t="n"/>
      <c r="D81" s="322" t="n"/>
      <c r="E81" s="323" t="n"/>
      <c r="F81" s="323" t="n"/>
      <c r="G81" s="324" t="n"/>
      <c r="H81" s="322" t="n"/>
      <c r="I81" s="301" t="n"/>
      <c r="J81" s="301" t="n"/>
    </row>
    <row r="82" ht="15" customHeight="1" s="221">
      <c r="A82" s="313" t="n"/>
      <c r="B82" s="318" t="n"/>
      <c r="C82" s="316" t="n"/>
      <c r="D82" s="316" t="n"/>
      <c r="E82" s="317" t="n"/>
      <c r="F82" s="317" t="n"/>
      <c r="G82" s="318" t="n"/>
      <c r="H82" s="316" t="n"/>
      <c r="I82" s="301" t="n"/>
      <c r="J82" s="301" t="n"/>
    </row>
    <row r="83" ht="15" customHeight="1" s="221">
      <c r="A83" s="319" t="n"/>
      <c r="B83" s="324" t="n"/>
      <c r="C83" s="322" t="n"/>
      <c r="D83" s="322" t="n"/>
      <c r="E83" s="323" t="n"/>
      <c r="F83" s="323" t="n"/>
      <c r="G83" s="324" t="n"/>
      <c r="H83" s="322" t="n"/>
      <c r="I83" s="301" t="n"/>
      <c r="J83" s="301" t="n"/>
    </row>
    <row r="84" ht="15" customHeight="1" s="221">
      <c r="A84" s="313" t="n"/>
      <c r="B84" s="318" t="n"/>
      <c r="C84" s="316" t="n"/>
      <c r="D84" s="316" t="n"/>
      <c r="E84" s="317" t="n"/>
      <c r="F84" s="317" t="n"/>
      <c r="G84" s="318" t="n"/>
      <c r="H84" s="316" t="n"/>
      <c r="I84" s="301" t="n"/>
      <c r="J84" s="301" t="n"/>
    </row>
    <row r="85" ht="15" customHeight="1" s="221">
      <c r="A85" s="319" t="n"/>
      <c r="B85" s="324" t="n"/>
      <c r="C85" s="322" t="n"/>
      <c r="D85" s="322" t="n"/>
      <c r="E85" s="323" t="n"/>
      <c r="F85" s="323" t="n"/>
      <c r="G85" s="324" t="n"/>
      <c r="H85" s="322" t="n"/>
      <c r="I85" s="301" t="n"/>
      <c r="J85" s="301" t="n"/>
    </row>
    <row r="86" ht="15" customHeight="1" s="221">
      <c r="A86" s="313" t="n"/>
      <c r="B86" s="318" t="n"/>
      <c r="C86" s="316" t="n"/>
      <c r="D86" s="316" t="n"/>
      <c r="E86" s="317" t="n"/>
      <c r="F86" s="317" t="n"/>
      <c r="G86" s="318" t="n"/>
      <c r="H86" s="316" t="n"/>
      <c r="I86" s="301" t="n"/>
      <c r="J86" s="301" t="n"/>
    </row>
    <row r="87" ht="15" customHeight="1" s="221">
      <c r="A87" s="319" t="n"/>
      <c r="B87" s="324" t="n"/>
      <c r="C87" s="322" t="n"/>
      <c r="D87" s="322" t="n"/>
      <c r="E87" s="323" t="n"/>
      <c r="F87" s="323" t="n"/>
      <c r="G87" s="324" t="n"/>
      <c r="H87" s="322" t="n"/>
      <c r="I87" s="301" t="n"/>
      <c r="J87" s="301" t="n"/>
    </row>
    <row r="88" ht="15" customHeight="1" s="221">
      <c r="A88" s="313" t="n"/>
      <c r="B88" s="318" t="n"/>
      <c r="C88" s="316" t="n"/>
      <c r="D88" s="316" t="n"/>
      <c r="E88" s="317" t="n"/>
      <c r="F88" s="317" t="n"/>
      <c r="G88" s="318" t="n"/>
      <c r="H88" s="316" t="n"/>
      <c r="I88" s="301" t="n"/>
      <c r="J88" s="301" t="n"/>
    </row>
    <row r="89" ht="15" customHeight="1" s="221">
      <c r="A89" s="319" t="n"/>
      <c r="B89" s="324" t="n"/>
      <c r="C89" s="322" t="n"/>
      <c r="D89" s="322" t="n"/>
      <c r="E89" s="323" t="n"/>
      <c r="F89" s="323" t="n"/>
      <c r="G89" s="324" t="n"/>
      <c r="H89" s="322" t="n"/>
      <c r="I89" s="301" t="n"/>
      <c r="J89" s="301" t="n"/>
    </row>
    <row r="90" ht="15" customHeight="1" s="221">
      <c r="A90" s="313" t="n"/>
      <c r="B90" s="318" t="n"/>
      <c r="C90" s="316" t="n"/>
      <c r="D90" s="316" t="n"/>
      <c r="E90" s="317" t="n"/>
      <c r="F90" s="317" t="n"/>
      <c r="G90" s="318" t="n"/>
      <c r="H90" s="316" t="n"/>
      <c r="I90" s="301" t="n"/>
      <c r="J90" s="301" t="n"/>
    </row>
    <row r="91" ht="15" customHeight="1" s="221">
      <c r="A91" s="319" t="n"/>
      <c r="B91" s="324" t="n"/>
      <c r="C91" s="322" t="n"/>
      <c r="D91" s="322" t="n"/>
      <c r="E91" s="323" t="n"/>
      <c r="F91" s="323" t="n"/>
      <c r="G91" s="324" t="n"/>
      <c r="H91" s="322" t="n"/>
      <c r="I91" s="301" t="n"/>
      <c r="J91" s="301" t="n"/>
    </row>
    <row r="92" ht="15" customHeight="1" s="221">
      <c r="A92" s="313" t="n"/>
      <c r="B92" s="318" t="n"/>
      <c r="C92" s="316" t="n"/>
      <c r="D92" s="316" t="n"/>
      <c r="E92" s="317" t="n"/>
      <c r="F92" s="317" t="n"/>
      <c r="G92" s="318" t="n"/>
      <c r="H92" s="316" t="n"/>
      <c r="I92" s="301" t="n"/>
      <c r="J92" s="301" t="n"/>
    </row>
    <row r="93" ht="15" customHeight="1" s="221">
      <c r="A93" s="319" t="n"/>
      <c r="B93" s="324" t="n"/>
      <c r="C93" s="322" t="n"/>
      <c r="D93" s="322" t="n"/>
      <c r="E93" s="323" t="n"/>
      <c r="F93" s="323" t="n"/>
      <c r="G93" s="324" t="n"/>
      <c r="H93" s="322" t="n"/>
      <c r="I93" s="301" t="n"/>
      <c r="J93" s="301" t="n"/>
    </row>
    <row r="94" ht="15" customHeight="1" s="221">
      <c r="A94" s="313" t="n"/>
      <c r="B94" s="318" t="n"/>
      <c r="C94" s="316" t="n"/>
      <c r="D94" s="316" t="n"/>
      <c r="E94" s="317" t="n"/>
      <c r="F94" s="317" t="n"/>
      <c r="G94" s="318" t="n"/>
      <c r="H94" s="316" t="n"/>
      <c r="I94" s="301" t="n"/>
      <c r="J94" s="301" t="n"/>
    </row>
    <row r="95" ht="15" customHeight="1" s="221">
      <c r="A95" s="319" t="n"/>
      <c r="B95" s="324" t="n"/>
      <c r="C95" s="322" t="n"/>
      <c r="D95" s="322" t="n"/>
      <c r="E95" s="323" t="n"/>
      <c r="F95" s="323" t="n"/>
      <c r="G95" s="324" t="n"/>
      <c r="H95" s="322" t="n"/>
      <c r="I95" s="301" t="n"/>
      <c r="J95" s="301" t="n"/>
    </row>
    <row r="96" ht="15" customHeight="1" s="221">
      <c r="A96" s="313" t="n"/>
      <c r="B96" s="318" t="n"/>
      <c r="C96" s="316" t="n"/>
      <c r="D96" s="316" t="n"/>
      <c r="E96" s="317" t="n"/>
      <c r="F96" s="317" t="n"/>
      <c r="G96" s="318" t="n"/>
      <c r="H96" s="316" t="n"/>
      <c r="I96" s="301" t="n"/>
      <c r="J96" s="301" t="n"/>
    </row>
    <row r="97" ht="15" customHeight="1" s="221">
      <c r="A97" s="319" t="n"/>
      <c r="B97" s="324" t="n"/>
      <c r="C97" s="322" t="n"/>
      <c r="D97" s="322" t="n"/>
      <c r="E97" s="323" t="n"/>
      <c r="F97" s="323" t="n"/>
      <c r="G97" s="324" t="n"/>
      <c r="H97" s="322" t="n"/>
      <c r="I97" s="301" t="n"/>
      <c r="J97" s="301" t="n"/>
    </row>
    <row r="98" ht="15" customHeight="1" s="221">
      <c r="A98" s="313" t="n"/>
      <c r="B98" s="318" t="n"/>
      <c r="C98" s="316" t="n"/>
      <c r="D98" s="316" t="n"/>
      <c r="E98" s="317" t="n"/>
      <c r="F98" s="317" t="n"/>
      <c r="G98" s="318" t="n"/>
      <c r="H98" s="316" t="n"/>
      <c r="I98" s="301" t="n"/>
      <c r="J98" s="301" t="n"/>
    </row>
    <row r="99" ht="15" customHeight="1" s="221">
      <c r="A99" s="319" t="n"/>
      <c r="B99" s="324" t="n"/>
      <c r="C99" s="322" t="n"/>
      <c r="D99" s="322" t="n"/>
      <c r="E99" s="323" t="n"/>
      <c r="F99" s="323" t="n"/>
      <c r="G99" s="324" t="n"/>
      <c r="H99" s="322" t="n"/>
      <c r="I99" s="301" t="n"/>
      <c r="J99" s="301" t="n"/>
    </row>
    <row r="100" ht="15" customHeight="1" s="221">
      <c r="A100" s="313" t="n"/>
      <c r="B100" s="318" t="n"/>
      <c r="C100" s="316" t="n"/>
      <c r="D100" s="316" t="n"/>
      <c r="E100" s="317" t="n"/>
      <c r="F100" s="317" t="n"/>
      <c r="G100" s="318" t="n"/>
      <c r="H100" s="316" t="n"/>
      <c r="I100" s="301" t="n"/>
      <c r="J100" s="301" t="n"/>
    </row>
    <row r="101" ht="15" customHeight="1" s="221">
      <c r="A101" s="319" t="n"/>
      <c r="B101" s="324" t="n"/>
      <c r="C101" s="322" t="n"/>
      <c r="D101" s="322" t="n"/>
      <c r="E101" s="323" t="n"/>
      <c r="F101" s="323" t="n"/>
      <c r="G101" s="324" t="n"/>
      <c r="H101" s="322" t="n"/>
      <c r="I101" s="301" t="n"/>
      <c r="J101" s="301" t="n"/>
    </row>
    <row r="102" ht="15" customHeight="1" s="221">
      <c r="A102" s="313" t="n"/>
      <c r="B102" s="318" t="n"/>
      <c r="C102" s="316" t="n"/>
      <c r="D102" s="316" t="n"/>
      <c r="E102" s="317" t="n"/>
      <c r="F102" s="317" t="n"/>
      <c r="G102" s="318" t="n"/>
      <c r="H102" s="316" t="n"/>
      <c r="I102" s="301" t="n"/>
      <c r="J102" s="301" t="n"/>
    </row>
    <row r="103" ht="15" customHeight="1" s="221">
      <c r="A103" s="319" t="n"/>
      <c r="B103" s="324" t="n"/>
      <c r="C103" s="322" t="n"/>
      <c r="D103" s="322" t="n"/>
      <c r="E103" s="323" t="n"/>
      <c r="F103" s="323" t="n"/>
      <c r="G103" s="324" t="n"/>
      <c r="H103" s="322" t="n"/>
      <c r="I103" s="301" t="n"/>
      <c r="J103" s="301" t="n"/>
    </row>
    <row r="104" ht="15" customHeight="1" s="221">
      <c r="A104" s="325" t="inlineStr">
        <is>
          <t>TOTALES</t>
        </is>
      </c>
      <c r="E104" s="326">
        <f>SUM(E4:E103)</f>
        <v/>
      </c>
      <c r="F104" s="327">
        <f>SUM(F4:F103)</f>
        <v/>
      </c>
      <c r="G104" s="301" t="n"/>
      <c r="H104" s="301" t="n"/>
      <c r="I104" s="301" t="n"/>
      <c r="J104" s="301" t="n"/>
    </row>
    <row r="105" ht="18" customHeight="1" s="221">
      <c r="A105" s="301" t="n"/>
      <c r="B105" s="301" t="n"/>
      <c r="C105" s="301" t="n"/>
      <c r="D105" s="301" t="n"/>
      <c r="E105" s="328" t="n"/>
      <c r="F105" s="301" t="n"/>
      <c r="G105" s="301" t="n"/>
      <c r="H105" s="301" t="n"/>
      <c r="I105" s="301" t="n"/>
      <c r="J105" s="301" t="n"/>
    </row>
    <row r="106" ht="15" customHeight="1" s="221">
      <c r="A106" s="310" t="inlineStr">
        <is>
          <t>📊 RESUMEN DEL MES</t>
        </is>
      </c>
      <c r="D106" s="301" t="n"/>
      <c r="E106" s="328" t="n"/>
      <c r="F106" s="301" t="n"/>
      <c r="G106" s="301" t="n"/>
      <c r="H106" s="301" t="n"/>
      <c r="I106" s="301" t="n"/>
      <c r="J106" s="301" t="n"/>
    </row>
    <row r="107" ht="15" customHeight="1" s="221">
      <c r="A107" s="223" t="inlineStr">
        <is>
          <t>INGRESOS:</t>
        </is>
      </c>
      <c r="B107" s="301" t="n"/>
      <c r="C107" s="328">
        <f>SUMIF(B4:B103,"Ingreso NT",E4:E103)</f>
        <v/>
      </c>
      <c r="D107" s="301" t="n"/>
      <c r="E107" s="328" t="n"/>
      <c r="F107" s="301" t="n"/>
      <c r="G107" s="301" t="n"/>
      <c r="H107" s="301" t="n"/>
      <c r="I107" s="301" t="n"/>
      <c r="J107" s="301" t="n"/>
    </row>
    <row r="108" ht="15" customHeight="1" s="221">
      <c r="A108" s="301" t="inlineStr">
        <is>
          <t xml:space="preserve">  Ingreso NT:</t>
        </is>
      </c>
      <c r="B108" s="301" t="n"/>
      <c r="C108" s="329">
        <f>SUMIF(B4:B103,"Ingreso NT",E4:E103)</f>
        <v/>
      </c>
      <c r="D108" s="301" t="n"/>
      <c r="E108" s="328" t="n"/>
      <c r="F108" s="301" t="n"/>
      <c r="G108" s="301" t="n"/>
      <c r="H108" s="301" t="n"/>
      <c r="I108" s="301" t="n"/>
      <c r="J108" s="301" t="n"/>
    </row>
    <row r="109" ht="15" customHeight="1" s="221">
      <c r="A109" s="301" t="inlineStr">
        <is>
          <t xml:space="preserve">  Ingreso Marco:</t>
        </is>
      </c>
      <c r="B109" s="301" t="n"/>
      <c r="C109" s="330">
        <f>SUMIF(B4:B103,"Ingreso Marco",E4:E103)</f>
        <v/>
      </c>
      <c r="D109" s="301" t="n"/>
      <c r="E109" s="328" t="n"/>
      <c r="F109" s="301" t="n"/>
      <c r="G109" s="301" t="n"/>
      <c r="H109" s="301" t="n"/>
      <c r="I109" s="301" t="n"/>
      <c r="J109" s="301" t="n"/>
    </row>
    <row r="110" ht="15" customHeight="1" s="221">
      <c r="A110" s="301" t="inlineStr">
        <is>
          <t xml:space="preserve">  Ingreso Clara:</t>
        </is>
      </c>
      <c r="B110" s="301" t="n"/>
      <c r="C110" s="331">
        <f>SUMIF(B4:B103,"Ingreso Clara",E4:E103)</f>
        <v/>
      </c>
      <c r="D110" s="301" t="n"/>
      <c r="E110" s="328" t="n"/>
      <c r="F110" s="301" t="n"/>
      <c r="G110" s="301" t="n"/>
      <c r="H110" s="301" t="n"/>
      <c r="I110" s="301" t="n"/>
      <c r="J110" s="301" t="n"/>
    </row>
    <row r="111" ht="15" customHeight="1" s="221">
      <c r="A111" s="301" t="inlineStr">
        <is>
          <t xml:space="preserve">  Devolución Fam → NT:</t>
        </is>
      </c>
      <c r="B111" s="301" t="n"/>
      <c r="C111" s="332">
        <f>SUMIF(B4:B103,"Devolución Familia → NT",E4:E103)</f>
        <v/>
      </c>
      <c r="D111" s="301" t="n"/>
      <c r="E111" s="328" t="n"/>
      <c r="F111" s="301" t="n"/>
      <c r="G111" s="301" t="n"/>
      <c r="H111" s="301" t="n"/>
      <c r="I111" s="301" t="n"/>
      <c r="J111" s="301" t="n"/>
    </row>
    <row r="112" ht="15" customHeight="1" s="221">
      <c r="A112" s="223" t="inlineStr">
        <is>
          <t xml:space="preserve">  TOTAL INGRESOS:</t>
        </is>
      </c>
      <c r="B112" s="301" t="n"/>
      <c r="C112" s="333">
        <f>SUM(C108:C111)</f>
        <v/>
      </c>
      <c r="D112" s="301" t="n"/>
      <c r="E112" s="328" t="n"/>
      <c r="F112" s="301" t="n"/>
      <c r="G112" s="301" t="n"/>
      <c r="H112" s="301" t="n"/>
      <c r="I112" s="301" t="n"/>
      <c r="J112" s="301" t="n"/>
    </row>
    <row r="113" ht="15" customHeight="1" s="221">
      <c r="A113" s="301" t="inlineStr">
        <is>
          <t>EGRESOS:</t>
        </is>
      </c>
      <c r="B113" s="301" t="n"/>
      <c r="C113" s="301" t="n"/>
      <c r="D113" s="301" t="n"/>
      <c r="E113" s="328" t="n"/>
      <c r="F113" s="301" t="n"/>
      <c r="G113" s="301" t="n"/>
      <c r="H113" s="301" t="n"/>
      <c r="I113" s="301" t="n"/>
      <c r="J113" s="301" t="n"/>
    </row>
    <row r="114" ht="15" customHeight="1" s="221">
      <c r="A114" s="223" t="inlineStr">
        <is>
          <t>EGRESOS:</t>
        </is>
      </c>
      <c r="B114" s="301" t="n"/>
      <c r="C114" s="328">
        <f>SUMIF(B4:B103,"Egreso NT",F4:F103)</f>
        <v/>
      </c>
      <c r="D114" s="301" t="n"/>
      <c r="E114" s="328" t="n"/>
      <c r="F114" s="301" t="n"/>
      <c r="G114" s="301" t="n"/>
      <c r="H114" s="301" t="n"/>
      <c r="I114" s="301" t="n"/>
      <c r="J114" s="301" t="n"/>
    </row>
    <row r="115" ht="15" customHeight="1" s="221">
      <c r="A115" s="301" t="inlineStr">
        <is>
          <t xml:space="preserve">  Egreso NT:</t>
        </is>
      </c>
      <c r="B115" s="301" t="n"/>
      <c r="C115" s="334">
        <f>SUMIF(B4:B103,"Egreso NT",F4:F103)</f>
        <v/>
      </c>
      <c r="D115" s="301" t="n"/>
      <c r="E115" s="328" t="n"/>
      <c r="F115" s="301" t="n"/>
      <c r="G115" s="301" t="n"/>
      <c r="H115" s="301" t="n"/>
      <c r="I115" s="301" t="n"/>
      <c r="J115" s="301" t="n"/>
    </row>
    <row r="116" ht="15" customHeight="1" s="221">
      <c r="A116" s="301" t="inlineStr">
        <is>
          <t xml:space="preserve">  Egreso Familiar:</t>
        </is>
      </c>
      <c r="B116" s="301" t="n"/>
      <c r="C116" s="335">
        <f>SUMIF(B4:B103,"Egreso Familiar",F4:F103)</f>
        <v/>
      </c>
      <c r="D116" s="301" t="n"/>
      <c r="E116" s="328" t="n"/>
      <c r="F116" s="301" t="n"/>
      <c r="G116" s="301" t="n"/>
      <c r="H116" s="301" t="n"/>
      <c r="I116" s="301" t="n"/>
      <c r="J116" s="301" t="n"/>
    </row>
    <row r="117" ht="15" customHeight="1" s="221">
      <c r="A117" s="301" t="inlineStr">
        <is>
          <t xml:space="preserve">  Préstamo NT → Fam:</t>
        </is>
      </c>
      <c r="B117" s="301" t="n"/>
      <c r="C117" s="336">
        <f>SUMIF(B4:B103,"Préstamo NT → Familia",F4:F103)</f>
        <v/>
      </c>
      <c r="D117" s="301" t="n"/>
      <c r="E117" s="328" t="n"/>
      <c r="F117" s="301" t="n"/>
      <c r="G117" s="301" t="n"/>
      <c r="H117" s="301" t="n"/>
      <c r="I117" s="301" t="n"/>
      <c r="J117" s="301" t="n"/>
    </row>
    <row r="118" ht="15" customHeight="1" s="221">
      <c r="A118" s="223" t="inlineStr">
        <is>
          <t xml:space="preserve">  TOTAL EGRESOS:</t>
        </is>
      </c>
      <c r="B118" s="301" t="n"/>
      <c r="C118" s="337">
        <f>SUM(C115:C117)</f>
        <v/>
      </c>
      <c r="D118" s="301" t="n"/>
      <c r="E118" s="328" t="n"/>
      <c r="F118" s="301" t="n"/>
      <c r="G118" s="301" t="n"/>
      <c r="H118" s="301" t="n"/>
      <c r="I118" s="301" t="n"/>
      <c r="J118" s="301" t="n"/>
    </row>
    <row r="119" ht="15" customHeight="1" s="221">
      <c r="A119" s="301" t="n"/>
      <c r="B119" s="301" t="n"/>
      <c r="C119" s="301" t="n"/>
      <c r="D119" s="301" t="n"/>
      <c r="E119" s="328" t="n"/>
      <c r="F119" s="301" t="n"/>
      <c r="G119" s="301" t="n"/>
      <c r="H119" s="301" t="n"/>
      <c r="I119" s="301" t="n"/>
      <c r="J119" s="301" t="n"/>
    </row>
    <row r="120" ht="15" customHeight="1" s="221">
      <c r="A120" s="223" t="inlineStr">
        <is>
          <t>SALDO PRÉSTAMO NT → FAM:</t>
        </is>
      </c>
      <c r="B120" s="301" t="n"/>
      <c r="C120" s="338">
        <f>C117-C111</f>
        <v/>
      </c>
      <c r="D120" s="301" t="n"/>
      <c r="E120" s="328" t="n"/>
      <c r="F120" s="301" t="n"/>
      <c r="G120" s="301" t="n"/>
      <c r="H120" s="301" t="n"/>
      <c r="I120" s="301" t="n"/>
      <c r="J120" s="301" t="n"/>
    </row>
    <row r="121" ht="15" customHeight="1" s="221">
      <c r="A121" s="339" t="inlineStr">
        <is>
          <t>(Prestado - Devuelto)</t>
        </is>
      </c>
      <c r="B121" s="301" t="n"/>
      <c r="C121" s="301" t="n"/>
      <c r="D121" s="301" t="n"/>
      <c r="E121" s="328" t="n"/>
      <c r="F121" s="301" t="n"/>
      <c r="G121" s="301" t="n"/>
      <c r="H121" s="301" t="n"/>
      <c r="I121" s="301" t="n"/>
      <c r="J121" s="301" t="n"/>
    </row>
    <row r="122" ht="15" customHeight="1" s="221">
      <c r="A122" s="301" t="n"/>
      <c r="B122" s="301" t="n"/>
      <c r="C122" s="301" t="n"/>
      <c r="D122" s="301" t="n"/>
      <c r="E122" s="328" t="n"/>
      <c r="F122" s="301" t="n"/>
      <c r="G122" s="301" t="n"/>
      <c r="H122" s="301" t="n"/>
      <c r="I122" s="301" t="n"/>
      <c r="J122" s="301" t="n"/>
    </row>
    <row r="123" ht="15" customHeight="1" s="221">
      <c r="A123" s="301" t="n"/>
      <c r="B123" s="301" t="n"/>
      <c r="C123" s="301" t="n"/>
      <c r="D123" s="301" t="n"/>
      <c r="E123" s="328" t="n"/>
      <c r="F123" s="301" t="n"/>
      <c r="G123" s="301" t="n"/>
      <c r="H123" s="301" t="n"/>
      <c r="I123" s="301" t="n"/>
      <c r="J123" s="301" t="n"/>
    </row>
    <row r="124" ht="15" customHeight="1" s="221">
      <c r="A124" s="301" t="n"/>
      <c r="B124" s="301" t="n"/>
      <c r="C124" s="301" t="n"/>
      <c r="D124" s="301" t="n"/>
      <c r="E124" s="328" t="n"/>
      <c r="F124" s="301" t="n"/>
      <c r="G124" s="301" t="n"/>
      <c r="H124" s="301" t="n"/>
      <c r="I124" s="301" t="n"/>
      <c r="J124" s="301" t="n"/>
    </row>
    <row r="125" ht="15" customHeight="1" s="221">
      <c r="A125" s="301" t="n"/>
      <c r="B125" s="301" t="n"/>
      <c r="C125" s="301" t="n"/>
      <c r="D125" s="301" t="n"/>
      <c r="E125" s="328" t="n"/>
      <c r="F125" s="301" t="n"/>
      <c r="G125" s="301" t="n"/>
      <c r="H125" s="301" t="n"/>
      <c r="I125" s="301" t="n"/>
      <c r="J125" s="301" t="n"/>
    </row>
    <row r="126" ht="15" customHeight="1" s="221">
      <c r="A126" s="301" t="n"/>
      <c r="B126" s="301" t="n"/>
      <c r="C126" s="301" t="n"/>
      <c r="D126" s="301" t="n"/>
      <c r="E126" s="328" t="n"/>
      <c r="F126" s="301" t="n"/>
      <c r="G126" s="301" t="n"/>
      <c r="H126" s="301" t="n"/>
      <c r="I126" s="301" t="n"/>
      <c r="J126" s="301" t="n"/>
    </row>
    <row r="127" ht="15" customHeight="1" s="221">
      <c r="A127" s="301" t="n"/>
      <c r="B127" s="301" t="n"/>
      <c r="C127" s="301" t="n"/>
      <c r="D127" s="301" t="n"/>
      <c r="E127" s="328" t="n"/>
      <c r="F127" s="301" t="n"/>
      <c r="G127" s="301" t="n"/>
      <c r="H127" s="301" t="n"/>
      <c r="I127" s="301" t="n"/>
      <c r="J127" s="301" t="n"/>
    </row>
    <row r="128" ht="15" customHeight="1" s="221">
      <c r="A128" s="301" t="n"/>
      <c r="B128" s="301" t="n"/>
      <c r="C128" s="301" t="n"/>
      <c r="D128" s="301" t="n"/>
      <c r="E128" s="328" t="n"/>
      <c r="F128" s="301" t="n"/>
      <c r="G128" s="301" t="n"/>
      <c r="H128" s="301" t="n"/>
      <c r="I128" s="301" t="n"/>
      <c r="J128" s="301" t="n"/>
    </row>
    <row r="129" ht="15" customHeight="1" s="221">
      <c r="A129" s="301" t="n"/>
      <c r="B129" s="301" t="n"/>
      <c r="C129" s="301" t="n"/>
      <c r="D129" s="301" t="n"/>
      <c r="E129" s="328" t="n"/>
      <c r="F129" s="301" t="n"/>
      <c r="G129" s="301" t="n"/>
      <c r="H129" s="301" t="n"/>
      <c r="I129" s="301" t="n"/>
      <c r="J129" s="301" t="n"/>
    </row>
    <row r="130" ht="15" customHeight="1" s="221">
      <c r="A130" s="301" t="n"/>
      <c r="B130" s="301" t="n"/>
      <c r="C130" s="301" t="n"/>
      <c r="D130" s="301" t="n"/>
      <c r="E130" s="328" t="n"/>
      <c r="F130" s="301" t="n"/>
      <c r="G130" s="301" t="n"/>
      <c r="H130" s="301" t="n"/>
      <c r="I130" s="301" t="n"/>
      <c r="J130" s="301" t="n"/>
    </row>
    <row r="131" ht="15" customHeight="1" s="221">
      <c r="A131" s="301" t="n"/>
      <c r="B131" s="301" t="n"/>
      <c r="C131" s="301" t="n"/>
      <c r="D131" s="301" t="n"/>
      <c r="E131" s="328" t="n"/>
      <c r="F131" s="301" t="n"/>
      <c r="G131" s="301" t="n"/>
      <c r="H131" s="301" t="n"/>
      <c r="I131" s="301" t="n"/>
      <c r="J131" s="301" t="n"/>
    </row>
    <row r="132" ht="15" customHeight="1" s="221">
      <c r="A132" s="301" t="n"/>
      <c r="B132" s="301" t="n"/>
      <c r="C132" s="301" t="n"/>
      <c r="D132" s="301" t="n"/>
      <c r="E132" s="328" t="n"/>
      <c r="F132" s="301" t="n"/>
      <c r="G132" s="301" t="n"/>
      <c r="H132" s="301" t="n"/>
      <c r="I132" s="301" t="n"/>
      <c r="J132" s="301" t="n"/>
    </row>
    <row r="133" ht="15" customHeight="1" s="221">
      <c r="A133" s="301" t="n"/>
      <c r="B133" s="301" t="n"/>
      <c r="C133" s="301" t="n"/>
      <c r="D133" s="301" t="n"/>
      <c r="E133" s="328" t="n"/>
      <c r="F133" s="301" t="n"/>
      <c r="G133" s="301" t="n"/>
      <c r="H133" s="301" t="n"/>
      <c r="I133" s="301" t="n"/>
      <c r="J133" s="301" t="n"/>
    </row>
    <row r="134" ht="15" customHeight="1" s="221">
      <c r="A134" s="301" t="n"/>
      <c r="B134" s="301" t="n"/>
      <c r="C134" s="301" t="n"/>
      <c r="D134" s="301" t="n"/>
      <c r="E134" s="328" t="n"/>
      <c r="F134" s="301" t="n"/>
      <c r="G134" s="301" t="n"/>
      <c r="H134" s="301" t="n"/>
      <c r="I134" s="301" t="n"/>
      <c r="J134" s="301" t="n"/>
    </row>
    <row r="135" ht="15" customHeight="1" s="221">
      <c r="A135" s="301" t="n"/>
      <c r="B135" s="301" t="n"/>
      <c r="C135" s="301" t="n"/>
      <c r="D135" s="301" t="n"/>
      <c r="E135" s="328" t="n"/>
      <c r="F135" s="301" t="n"/>
      <c r="G135" s="301" t="n"/>
      <c r="H135" s="301" t="n"/>
      <c r="I135" s="301" t="n"/>
      <c r="J135" s="301" t="n"/>
    </row>
    <row r="136" ht="15" customHeight="1" s="221">
      <c r="A136" s="301" t="n"/>
      <c r="B136" s="301" t="n"/>
      <c r="C136" s="301" t="n"/>
      <c r="D136" s="301" t="n"/>
      <c r="E136" s="328" t="n"/>
      <c r="F136" s="301" t="n"/>
      <c r="G136" s="301" t="n"/>
      <c r="H136" s="301" t="n"/>
      <c r="I136" s="301" t="n"/>
      <c r="J136" s="301" t="n"/>
    </row>
    <row r="137" ht="15" customHeight="1" s="221">
      <c r="A137" s="301" t="n"/>
      <c r="B137" s="301" t="n"/>
      <c r="C137" s="301" t="n"/>
      <c r="D137" s="301" t="n"/>
      <c r="E137" s="328" t="n"/>
      <c r="F137" s="301" t="n"/>
      <c r="G137" s="301" t="n"/>
      <c r="H137" s="301" t="n"/>
      <c r="I137" s="301" t="n"/>
      <c r="J137" s="301" t="n"/>
    </row>
    <row r="138" ht="15" customHeight="1" s="221">
      <c r="A138" s="301" t="n"/>
      <c r="B138" s="301" t="n"/>
      <c r="C138" s="301" t="n"/>
      <c r="D138" s="301" t="n"/>
      <c r="E138" s="328" t="n"/>
      <c r="F138" s="301" t="n"/>
      <c r="G138" s="301" t="n"/>
      <c r="H138" s="301" t="n"/>
      <c r="I138" s="301" t="n"/>
      <c r="J138" s="301" t="n"/>
    </row>
    <row r="139" ht="15" customHeight="1" s="221">
      <c r="A139" s="301" t="n"/>
      <c r="B139" s="301" t="n"/>
      <c r="C139" s="301" t="n"/>
      <c r="D139" s="301" t="n"/>
      <c r="E139" s="301" t="n"/>
      <c r="F139" s="301" t="n"/>
      <c r="G139" s="301" t="n"/>
      <c r="H139" s="301" t="n"/>
      <c r="I139" s="301" t="n"/>
      <c r="J139" s="301" t="n"/>
    </row>
    <row r="140" ht="15" customHeight="1" s="221">
      <c r="A140" s="301" t="n"/>
      <c r="B140" s="301" t="n"/>
      <c r="C140" s="301" t="n"/>
      <c r="D140" s="301" t="n"/>
      <c r="E140" s="301" t="n"/>
      <c r="F140" s="301" t="n"/>
      <c r="G140" s="301" t="n"/>
      <c r="H140" s="301" t="n"/>
      <c r="I140" s="301" t="n"/>
      <c r="J140" s="301" t="n"/>
    </row>
    <row r="141" ht="15" customHeight="1" s="221">
      <c r="A141" s="301" t="n"/>
      <c r="B141" s="301" t="n"/>
      <c r="C141" s="301" t="n"/>
      <c r="D141" s="301" t="n"/>
      <c r="E141" s="301" t="n"/>
      <c r="F141" s="301" t="n"/>
      <c r="G141" s="301" t="n"/>
      <c r="H141" s="301" t="n"/>
      <c r="I141" s="301" t="n"/>
      <c r="J141" s="301" t="n"/>
    </row>
    <row r="142" ht="15" customHeight="1" s="221">
      <c r="A142" s="301" t="n"/>
      <c r="B142" s="301" t="n"/>
      <c r="C142" s="301" t="n"/>
      <c r="D142" s="301" t="n"/>
      <c r="E142" s="301" t="n"/>
      <c r="F142" s="301" t="n"/>
      <c r="G142" s="301" t="n"/>
      <c r="H142" s="301" t="n"/>
      <c r="I142" s="301" t="n"/>
      <c r="J142" s="301" t="n"/>
    </row>
    <row r="143" ht="15" customHeight="1" s="221">
      <c r="A143" s="301" t="n"/>
      <c r="B143" s="301" t="n"/>
      <c r="C143" s="301" t="n"/>
      <c r="D143" s="301" t="n"/>
      <c r="E143" s="301" t="n"/>
      <c r="F143" s="301" t="n"/>
      <c r="G143" s="301" t="n"/>
      <c r="H143" s="301" t="n"/>
      <c r="I143" s="301" t="n"/>
      <c r="J143" s="301" t="n"/>
    </row>
    <row r="144" ht="15" customHeight="1" s="221">
      <c r="A144" s="301" t="n"/>
      <c r="B144" s="301" t="n"/>
      <c r="C144" s="301" t="n"/>
      <c r="D144" s="301" t="n"/>
      <c r="E144" s="301" t="n"/>
      <c r="F144" s="301" t="n"/>
      <c r="G144" s="301" t="n"/>
      <c r="H144" s="301" t="n"/>
      <c r="I144" s="301" t="n"/>
      <c r="J144" s="301" t="n"/>
    </row>
    <row r="145" ht="15" customHeight="1" s="221">
      <c r="A145" s="301" t="n"/>
      <c r="B145" s="301" t="n"/>
      <c r="C145" s="301" t="n"/>
      <c r="D145" s="301" t="n"/>
      <c r="E145" s="301" t="n"/>
      <c r="F145" s="301" t="n"/>
      <c r="G145" s="301" t="n"/>
      <c r="H145" s="301" t="n"/>
      <c r="I145" s="301" t="n"/>
      <c r="J145" s="301" t="n"/>
    </row>
    <row r="146" ht="15" customHeight="1" s="221">
      <c r="A146" s="301" t="n"/>
      <c r="B146" s="301" t="n"/>
      <c r="C146" s="301" t="n"/>
      <c r="D146" s="301" t="n"/>
      <c r="E146" s="301" t="n"/>
      <c r="F146" s="301" t="n"/>
      <c r="G146" s="301" t="n"/>
      <c r="H146" s="301" t="n"/>
      <c r="I146" s="301" t="n"/>
      <c r="J146" s="301" t="n"/>
    </row>
    <row r="147" ht="15" customHeight="1" s="221">
      <c r="A147" s="301" t="n"/>
      <c r="B147" s="301" t="n"/>
      <c r="C147" s="301" t="n"/>
      <c r="D147" s="301" t="n"/>
      <c r="E147" s="301" t="n"/>
      <c r="F147" s="301" t="n"/>
      <c r="G147" s="301" t="n"/>
      <c r="H147" s="301" t="n"/>
      <c r="I147" s="301" t="n"/>
      <c r="J147" s="301" t="n"/>
    </row>
    <row r="148" ht="15" customHeight="1" s="221">
      <c r="A148" s="301" t="n"/>
      <c r="B148" s="301" t="n"/>
      <c r="C148" s="301" t="n"/>
      <c r="D148" s="301" t="n"/>
      <c r="E148" s="301" t="n"/>
      <c r="F148" s="301" t="n"/>
      <c r="G148" s="301" t="n"/>
      <c r="H148" s="301" t="n"/>
      <c r="I148" s="301" t="n"/>
      <c r="J148" s="301" t="n"/>
    </row>
    <row r="149" ht="15" customHeight="1" s="221">
      <c r="A149" s="301" t="n"/>
      <c r="B149" s="301" t="n"/>
      <c r="C149" s="301" t="n"/>
      <c r="D149" s="301" t="n"/>
      <c r="E149" s="301" t="n"/>
      <c r="F149" s="301" t="n"/>
      <c r="G149" s="301" t="n"/>
      <c r="H149" s="301" t="n"/>
      <c r="I149" s="301" t="n"/>
      <c r="J149" s="301" t="n"/>
    </row>
    <row r="150" ht="15" customHeight="1" s="221">
      <c r="A150" s="301" t="n"/>
      <c r="B150" s="301" t="n"/>
      <c r="C150" s="301" t="n"/>
      <c r="D150" s="301" t="n"/>
      <c r="E150" s="301" t="n"/>
      <c r="F150" s="301" t="n"/>
      <c r="G150" s="301" t="n"/>
      <c r="H150" s="301" t="n"/>
      <c r="I150" s="301" t="n"/>
      <c r="J150" s="301" t="n"/>
    </row>
  </sheetData>
  <mergeCells count="3">
    <mergeCell ref="A104:D104"/>
    <mergeCell ref="A106:C106"/>
    <mergeCell ref="A1:H1"/>
  </mergeCells>
  <dataValidations count="2">
    <dataValidation sqref="B4:B103" showDropDown="0" showInputMessage="0" showErrorMessage="0" allowBlank="1" type="list" errorStyle="stop" operator="between">
      <formula1>"Familiar,NeuroTEA"</formula1>
      <formula2>0</formula2>
    </dataValidation>
    <dataValidation sqref="C4:C103" showDropDown="0" showInputMessage="0" showErrorMessage="0" allowBlank="1" type="list" errorStyle="stop" operator="between">
      <formula1>"Combustible,Supermercado,Farmacia,Recreación,Gastos Varios,Reserva Fam 1,Reserva Fam 2,Reserva Fam 3,Insumos NT,Papelería NT,Mantenimiento NT,Festejos NT,Gastos Cursos NT,Gastos Varios NT,Reserva NT 1,Reserva NT 2,Reserva NT 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tabColor rgb="FF16A085"/>
    <outlinePr summaryBelow="1" summaryRight="1"/>
    <pageSetUpPr fitToPage="0"/>
  </sheetPr>
  <dimension ref="A1:L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24" customWidth="1" style="220" min="1" max="1"/>
    <col width="12" customWidth="1" style="220" min="2" max="2"/>
    <col width="14" customWidth="1" style="220" min="3" max="4"/>
    <col width="2" customWidth="1" style="220" min="5" max="6"/>
    <col width="24" customWidth="1" style="220" min="7" max="7"/>
    <col width="12" customWidth="1" style="220" min="8" max="8"/>
    <col width="14" customWidth="1" style="220" min="9" max="10"/>
  </cols>
  <sheetData>
    <row r="1" ht="34.5" customHeight="1" s="221">
      <c r="A1" s="340" t="inlineStr">
        <is>
          <t>📊 CONTROL FINANCIERO - AGOSTO 2026</t>
        </is>
      </c>
      <c r="K1" s="301" t="n"/>
      <c r="L1" s="301" t="n"/>
    </row>
    <row r="2" ht="15" customHeight="1" s="221">
      <c r="A2" s="301" t="n"/>
      <c r="B2" s="301" t="n"/>
      <c r="C2" s="301" t="n"/>
      <c r="D2" s="301" t="n"/>
      <c r="E2" s="301" t="n"/>
      <c r="F2" s="301" t="n"/>
      <c r="G2" s="301" t="n"/>
      <c r="H2" s="301" t="n"/>
      <c r="I2" s="301" t="n"/>
      <c r="J2" s="301" t="n"/>
      <c r="K2" s="301" t="n"/>
      <c r="L2" s="301" t="n"/>
    </row>
    <row r="3" ht="15" customHeight="1" s="221">
      <c r="A3" s="341" t="inlineStr">
        <is>
          <t>TOTAL INGRESOS</t>
        </is>
      </c>
      <c r="C3" s="301" t="n"/>
      <c r="D3" s="342" t="inlineStr">
        <is>
          <t>GASTOS PAGADOS</t>
        </is>
      </c>
      <c r="F3" s="301" t="n"/>
      <c r="G3" s="343" t="inlineStr">
        <is>
          <t>GASTOS PENDIENTES</t>
        </is>
      </c>
      <c r="I3" s="301" t="n"/>
      <c r="J3" s="344" t="inlineStr">
        <is>
          <t>BALANCE</t>
        </is>
      </c>
      <c r="K3" s="301" t="n"/>
      <c r="L3" s="301" t="n"/>
    </row>
    <row r="4" ht="22.5" customHeight="1" s="221">
      <c r="A4" s="345">
        <f>D26+J12</f>
        <v/>
      </c>
      <c r="C4" s="328" t="n"/>
      <c r="D4" s="346">
        <f>D65+I58</f>
        <v/>
      </c>
      <c r="F4" s="301" t="n"/>
      <c r="G4" s="347">
        <f>D66+I59</f>
        <v/>
      </c>
      <c r="I4" s="301" t="n"/>
      <c r="J4" s="348">
        <f>A4-D4-G4</f>
        <v/>
      </c>
      <c r="K4" s="301" t="n"/>
      <c r="L4" s="301" t="n"/>
    </row>
    <row r="5" ht="15" customHeight="1" s="221">
      <c r="A5" s="301" t="n"/>
      <c r="B5" s="301" t="n"/>
      <c r="C5" s="301" t="n"/>
      <c r="D5" s="301" t="n"/>
      <c r="E5" s="301" t="n"/>
      <c r="F5" s="301" t="n"/>
      <c r="G5" s="301" t="n"/>
      <c r="H5" s="301" t="n"/>
      <c r="I5" s="301" t="n"/>
      <c r="J5" s="301" t="n"/>
      <c r="K5" s="301" t="n"/>
      <c r="L5" s="301" t="n"/>
    </row>
    <row r="6" ht="15.75" customHeight="1" s="221">
      <c r="A6" s="349" t="inlineStr">
        <is>
          <t>⚠️ PRÉSTAMO NT → FAMILIA</t>
        </is>
      </c>
      <c r="D6" s="350">
        <f>SUMIF('Ing-Egr Agosto 2026'!B4:B103,"Préstamo NT → Familia",'Ing-Egr Agosto 2026'!F4:F103)-SUMIF('Ing-Egr Agosto 2026'!B4:B103,"Devolución Familia → NT",'Ing-Egr Agosto 2026'!E4:E103)</f>
        <v/>
      </c>
      <c r="E6" s="301" t="n"/>
      <c r="F6" s="351" t="inlineStr">
        <is>
          <t>Estado:</t>
        </is>
      </c>
      <c r="G6" s="351">
        <f>IF(D6=0,"🟢 SANO","🔴 FUGA")</f>
        <v/>
      </c>
      <c r="H6" s="301" t="n"/>
      <c r="I6" s="339" t="inlineStr">
        <is>
          <t>(Ideal = 0)</t>
        </is>
      </c>
      <c r="J6" s="301" t="n"/>
      <c r="K6" s="301" t="n"/>
      <c r="L6" s="301" t="n"/>
    </row>
    <row r="7" ht="15" customHeight="1" s="221">
      <c r="A7" s="301" t="n"/>
      <c r="B7" s="301" t="n"/>
      <c r="C7" s="301" t="n"/>
      <c r="D7" s="301" t="n"/>
      <c r="E7" s="301" t="n"/>
      <c r="F7" s="301" t="n"/>
      <c r="G7" s="301" t="n"/>
      <c r="H7" s="301" t="n"/>
      <c r="I7" s="301" t="n"/>
      <c r="J7" s="301" t="n"/>
      <c r="K7" s="301" t="n"/>
      <c r="L7" s="301" t="n"/>
    </row>
    <row r="8" ht="15" customHeight="1" s="221">
      <c r="A8" s="352" t="inlineStr">
        <is>
          <t>💵 INGRESOS FAMILIA</t>
        </is>
      </c>
      <c r="B8" s="256" t="n"/>
      <c r="C8" s="256" t="n"/>
      <c r="D8" s="353" t="n"/>
      <c r="E8" s="354" t="n"/>
      <c r="F8" s="354" t="n"/>
      <c r="G8" s="355" t="inlineStr">
        <is>
          <t>💵 INGRESOS NEUROTEA</t>
        </is>
      </c>
      <c r="H8" s="256" t="n"/>
      <c r="I8" s="256" t="n"/>
      <c r="J8" s="353" t="n"/>
      <c r="K8" s="301" t="n"/>
      <c r="L8" s="301" t="n"/>
    </row>
    <row r="9" ht="15" customHeight="1" s="221">
      <c r="A9" s="356" t="inlineStr">
        <is>
          <t>MARCO ITAIPU</t>
        </is>
      </c>
      <c r="B9" s="353" t="n"/>
      <c r="C9" s="357" t="inlineStr">
        <is>
          <t>Fecha</t>
        </is>
      </c>
      <c r="D9" s="358" t="inlineStr">
        <is>
          <t>Monto</t>
        </is>
      </c>
      <c r="E9" s="359" t="n"/>
      <c r="F9" s="360" t="n"/>
      <c r="G9" s="361" t="inlineStr">
        <is>
          <t>Ingreso del Mes</t>
        </is>
      </c>
      <c r="H9" s="256" t="n"/>
      <c r="I9" s="353" t="n"/>
      <c r="J9" s="362" t="inlineStr">
        <is>
          <t>Monto</t>
        </is>
      </c>
      <c r="K9" s="301" t="n"/>
      <c r="L9" s="301" t="n"/>
    </row>
    <row r="10" ht="15" customHeight="1" s="221">
      <c r="A10" s="363" t="inlineStr">
        <is>
          <t>Salario Mensual</t>
        </is>
      </c>
      <c r="B10" s="364" t="n"/>
      <c r="C10" s="365" t="n"/>
      <c r="D10" s="366">
        <f>SUMIFS('Ing-Egr Agosto 2026'!E4:E103,'Ing-Egr Agosto 2026'!B4:B103,"Ingreso Marco",'Ing-Egr Agosto 2026'!C4:C103,A10)</f>
        <v/>
      </c>
      <c r="E10" s="359" t="n"/>
      <c r="F10" s="360" t="n"/>
      <c r="G10" s="367" t="inlineStr">
        <is>
          <t>(Suma desde pestaña Ing-Egr Agosto)</t>
        </is>
      </c>
      <c r="H10" s="256" t="n"/>
      <c r="I10" s="353" t="n"/>
      <c r="J10" s="368">
        <f>SUMIF('Ing-Egr Agosto 2026'!B4:B103,"Ingreso NT",'Ing-Egr Agosto 2026'!E4:E103)</f>
        <v/>
      </c>
      <c r="K10" s="301" t="n"/>
      <c r="L10" s="301" t="n"/>
    </row>
    <row r="11" ht="15" customHeight="1" s="221">
      <c r="A11" s="369" t="inlineStr">
        <is>
          <t>Vacaciones</t>
        </is>
      </c>
      <c r="B11" s="370" t="n"/>
      <c r="C11" s="371" t="n"/>
      <c r="D11" s="366">
        <f>SUMIFS('Ing-Egr Agosto 2026'!E4:E103,'Ing-Egr Agosto 2026'!B4:B103,"Ingreso Marco",'Ing-Egr Agosto 2026'!C4:C103,A11)</f>
        <v/>
      </c>
      <c r="E11" s="359" t="n"/>
      <c r="F11" s="360" t="n"/>
      <c r="G11" s="359" t="n"/>
      <c r="H11" s="301" t="n"/>
      <c r="I11" s="301" t="n"/>
      <c r="J11" s="301" t="n"/>
      <c r="K11" s="301" t="n"/>
      <c r="L11" s="301" t="n"/>
    </row>
    <row r="12" ht="15" customHeight="1" s="221">
      <c r="A12" s="363" t="inlineStr">
        <is>
          <t>Aguinaldo</t>
        </is>
      </c>
      <c r="B12" s="364" t="n"/>
      <c r="C12" s="365" t="n"/>
      <c r="D12" s="366">
        <f>SUMIFS('Ing-Egr Agosto 2026'!E4:E103,'Ing-Egr Agosto 2026'!B4:B103,"Ingreso Marco",'Ing-Egr Agosto 2026'!C4:C103,A12)</f>
        <v/>
      </c>
      <c r="E12" s="359" t="n"/>
      <c r="F12" s="360" t="n"/>
      <c r="G12" s="372" t="inlineStr">
        <is>
          <t>═══ TOTAL INGRESOS NT ═══</t>
        </is>
      </c>
      <c r="H12" s="256" t="n"/>
      <c r="I12" s="353" t="n"/>
      <c r="J12" s="373">
        <f>J10</f>
        <v/>
      </c>
      <c r="K12" s="301" t="n"/>
      <c r="L12" s="301" t="n"/>
    </row>
    <row r="13" ht="15" customHeight="1" s="221">
      <c r="A13" s="369" t="inlineStr">
        <is>
          <t>Viático</t>
        </is>
      </c>
      <c r="B13" s="370" t="n"/>
      <c r="C13" s="371" t="n"/>
      <c r="D13" s="366">
        <f>SUMIFS('Ing-Egr Agosto 2026'!E4:E103,'Ing-Egr Agosto 2026'!B4:B103,"Ingreso Marco",'Ing-Egr Agosto 2026'!C4:C103,A13)</f>
        <v/>
      </c>
      <c r="E13" s="359" t="n"/>
      <c r="F13" s="360" t="n"/>
      <c r="G13" s="359" t="n"/>
      <c r="H13" s="301" t="n"/>
      <c r="I13" s="301" t="n"/>
      <c r="J13" s="301" t="n"/>
      <c r="K13" s="301" t="n"/>
      <c r="L13" s="301" t="n"/>
    </row>
    <row r="14" ht="15" customHeight="1" s="221">
      <c r="A14" s="363" t="inlineStr">
        <is>
          <t>Animador Bíblico</t>
        </is>
      </c>
      <c r="B14" s="364" t="n"/>
      <c r="C14" s="365" t="n"/>
      <c r="D14" s="366">
        <f>SUMIFS('Ing-Egr Agosto 2026'!E4:E103,'Ing-Egr Agosto 2026'!B4:B103,"Ingreso Marco",'Ing-Egr Agosto 2026'!C4:C103,A14)</f>
        <v/>
      </c>
      <c r="E14" s="359" t="n"/>
      <c r="F14" s="360" t="n"/>
      <c r="G14" s="359" t="n"/>
      <c r="H14" s="301" t="n"/>
      <c r="I14" s="301" t="n"/>
      <c r="J14" s="301" t="n"/>
      <c r="K14" s="301" t="n"/>
      <c r="L14" s="301" t="n"/>
    </row>
    <row r="15" ht="15" customHeight="1" s="221">
      <c r="A15" s="369" t="inlineStr">
        <is>
          <t>Otros Ocasionales</t>
        </is>
      </c>
      <c r="B15" s="370" t="n"/>
      <c r="C15" s="371" t="n"/>
      <c r="D15" s="366">
        <f>SUMIFS('Ing-Egr Agosto 2026'!E4:E103,'Ing-Egr Agosto 2026'!B4:B103,"Ingreso Marco",'Ing-Egr Agosto 2026'!C4:C103,A15)</f>
        <v/>
      </c>
      <c r="E15" s="359" t="n"/>
      <c r="F15" s="360" t="n"/>
      <c r="G15" s="359" t="n"/>
      <c r="H15" s="301" t="n"/>
      <c r="I15" s="374">
        <f>J12</f>
        <v/>
      </c>
      <c r="J15" s="301" t="n"/>
      <c r="K15" s="301" t="n"/>
      <c r="L15" s="301" t="n"/>
    </row>
    <row r="16" ht="15" customHeight="1" s="221">
      <c r="A16" s="375" t="inlineStr">
        <is>
          <t>TOTAL MARCO</t>
        </is>
      </c>
      <c r="B16" s="360" t="n"/>
      <c r="C16" s="359" t="n"/>
      <c r="D16" s="376">
        <f>SUM(D10:D15)</f>
        <v/>
      </c>
      <c r="E16" s="359" t="n"/>
      <c r="F16" s="360" t="n"/>
      <c r="G16" s="359" t="n"/>
      <c r="H16" s="301" t="n"/>
      <c r="I16" s="301" t="n"/>
      <c r="J16" s="301" t="n"/>
      <c r="K16" s="301" t="n"/>
      <c r="L16" s="301" t="n"/>
    </row>
    <row r="17" ht="15" customHeight="1" s="221">
      <c r="A17" s="377" t="inlineStr">
        <is>
          <t>CLARA</t>
        </is>
      </c>
      <c r="B17" s="353" t="n"/>
      <c r="C17" s="378" t="inlineStr">
        <is>
          <t>Fecha</t>
        </is>
      </c>
      <c r="D17" s="379" t="inlineStr">
        <is>
          <t>Monto</t>
        </is>
      </c>
      <c r="E17" s="359" t="n"/>
      <c r="F17" s="360" t="n"/>
      <c r="G17" s="359" t="n"/>
      <c r="H17" s="301" t="n"/>
      <c r="I17" s="301" t="n"/>
      <c r="J17" s="301" t="n"/>
      <c r="K17" s="301" t="n"/>
      <c r="L17" s="301" t="n"/>
    </row>
    <row r="18" ht="15" customHeight="1" s="221">
      <c r="A18" s="380" t="inlineStr">
        <is>
          <t>Honorarios Diarios</t>
        </is>
      </c>
      <c r="B18" s="381" t="n"/>
      <c r="C18" s="382" t="n"/>
      <c r="D18" s="383">
        <f>SUMIF('Ing-Egr Agosto 2026'!B4:B103,"Ingreso Clara",'Ing-Egr Agosto 2026'!E4:E103)</f>
        <v/>
      </c>
      <c r="E18" s="359" t="n"/>
      <c r="F18" s="360" t="n"/>
      <c r="G18" s="359" t="n"/>
      <c r="H18" s="301" t="n"/>
      <c r="I18" s="301" t="n"/>
      <c r="J18" s="301" t="n"/>
      <c r="K18" s="301" t="n"/>
      <c r="L18" s="301" t="n"/>
    </row>
    <row r="19" ht="15" customHeight="1" s="221">
      <c r="A19" s="384" t="inlineStr">
        <is>
          <t>TOTAL CLARA</t>
        </is>
      </c>
      <c r="B19" s="301" t="n"/>
      <c r="C19" s="301" t="n"/>
      <c r="D19" s="385">
        <f>D18</f>
        <v/>
      </c>
      <c r="E19" s="359" t="n"/>
      <c r="F19" s="360" t="n"/>
      <c r="G19" s="359" t="n"/>
      <c r="H19" s="301" t="n"/>
      <c r="I19" s="301" t="n"/>
      <c r="J19" s="301" t="n"/>
      <c r="K19" s="301" t="n"/>
      <c r="L19" s="301" t="n"/>
    </row>
    <row r="20" ht="15" customHeight="1" s="221">
      <c r="A20" s="386" t="inlineStr">
        <is>
          <t>DESDE NEUROTEA</t>
        </is>
      </c>
      <c r="D20" s="387" t="inlineStr">
        <is>
          <t>Monto</t>
        </is>
      </c>
      <c r="E20" s="359" t="n"/>
      <c r="F20" s="360" t="n"/>
      <c r="G20" s="359" t="n"/>
      <c r="H20" s="301" t="n"/>
      <c r="I20" s="301" t="n"/>
      <c r="J20" s="301" t="n"/>
      <c r="K20" s="301" t="n"/>
      <c r="L20" s="301" t="n"/>
    </row>
    <row r="21" ht="15" customHeight="1" s="221">
      <c r="A21" s="388" t="inlineStr">
        <is>
          <t>Salario Admin Marco</t>
        </is>
      </c>
      <c r="B21" s="388" t="n"/>
      <c r="C21" s="388" t="n"/>
      <c r="D21" s="389" t="n">
        <v>0</v>
      </c>
      <c r="E21" s="359" t="n"/>
      <c r="F21" s="360" t="n"/>
      <c r="G21" s="359" t="n"/>
      <c r="H21" s="301" t="n"/>
      <c r="I21" s="301" t="n"/>
      <c r="J21" s="301" t="n"/>
      <c r="K21" s="301" t="n"/>
      <c r="L21" s="301" t="n"/>
    </row>
    <row r="22" ht="15" customHeight="1" s="221">
      <c r="A22" s="390" t="inlineStr">
        <is>
          <t>Ganancia NT → Familia</t>
        </is>
      </c>
      <c r="B22" s="390" t="n"/>
      <c r="C22" s="390" t="n"/>
      <c r="D22" s="391" t="n">
        <v>0</v>
      </c>
      <c r="E22" s="359" t="n"/>
      <c r="F22" s="360" t="n"/>
      <c r="G22" s="359" t="n"/>
      <c r="H22" s="301" t="n"/>
      <c r="I22" s="301" t="n"/>
      <c r="J22" s="301" t="n"/>
      <c r="K22" s="301" t="n"/>
      <c r="L22" s="301" t="n"/>
    </row>
    <row r="23" ht="15" customHeight="1" s="221">
      <c r="A23" s="388" t="inlineStr">
        <is>
          <t>Préstamo NT (automático)</t>
        </is>
      </c>
      <c r="B23" s="388" t="n"/>
      <c r="C23" s="388" t="n"/>
      <c r="D23" s="389">
        <f>D6</f>
        <v/>
      </c>
      <c r="E23" s="359" t="n"/>
      <c r="F23" s="360" t="n"/>
      <c r="G23" s="359" t="n"/>
      <c r="H23" s="301" t="n"/>
      <c r="I23" s="301" t="n"/>
      <c r="J23" s="301" t="n"/>
      <c r="K23" s="301" t="n"/>
      <c r="L23" s="301" t="n"/>
    </row>
    <row r="24" ht="15" customHeight="1" s="221">
      <c r="A24" s="392" t="inlineStr">
        <is>
          <t>TOTAL DESDE NT</t>
        </is>
      </c>
      <c r="B24" s="301" t="n"/>
      <c r="C24" s="301" t="n"/>
      <c r="D24" s="393">
        <f>SUM(D21:D23)</f>
        <v/>
      </c>
      <c r="E24" s="359" t="n"/>
      <c r="F24" s="360" t="n"/>
      <c r="G24" s="359" t="n"/>
      <c r="H24" s="301" t="n"/>
      <c r="I24" s="301" t="n"/>
      <c r="J24" s="301" t="n"/>
      <c r="K24" s="301" t="n"/>
      <c r="L24" s="301" t="n"/>
    </row>
    <row r="25" ht="15" customHeight="1" s="221">
      <c r="A25" s="301" t="n"/>
      <c r="B25" s="301" t="n"/>
      <c r="C25" s="301" t="n"/>
      <c r="D25" s="360" t="n"/>
      <c r="E25" s="359" t="n"/>
      <c r="F25" s="360" t="n"/>
      <c r="G25" s="359" t="n"/>
      <c r="H25" s="301" t="n"/>
      <c r="I25" s="301" t="n"/>
      <c r="J25" s="301" t="n"/>
      <c r="K25" s="301" t="n"/>
      <c r="L25" s="301" t="n"/>
    </row>
    <row r="26" ht="15" customHeight="1" s="221">
      <c r="A26" s="223" t="inlineStr">
        <is>
          <t>═══ TOTAL INGRESOS FAMILIA ═══</t>
        </is>
      </c>
      <c r="D26" s="394">
        <f>D16+D19+D24</f>
        <v/>
      </c>
      <c r="E26" s="359" t="n"/>
      <c r="F26" s="360" t="n"/>
      <c r="G26" s="359" t="n"/>
      <c r="H26" s="301" t="n"/>
      <c r="I26" s="301" t="n"/>
      <c r="J26" s="301" t="n"/>
      <c r="K26" s="301" t="n"/>
      <c r="L26" s="301" t="n"/>
    </row>
    <row r="27" ht="15" customHeight="1" s="221">
      <c r="A27" s="301" t="n"/>
      <c r="B27" s="301" t="n"/>
      <c r="C27" s="301" t="n"/>
      <c r="D27" s="360" t="n"/>
      <c r="E27" s="359" t="n"/>
      <c r="F27" s="360" t="n"/>
      <c r="G27" s="359" t="n"/>
      <c r="H27" s="301" t="n"/>
      <c r="I27" s="301" t="n"/>
      <c r="J27" s="301" t="n"/>
      <c r="K27" s="301" t="n"/>
      <c r="L27" s="301" t="n"/>
    </row>
    <row r="28" ht="15.75" customHeight="1" s="221">
      <c r="A28" s="395" t="inlineStr">
        <is>
          <t>📉 GASTOS FAMILIARES</t>
        </is>
      </c>
      <c r="E28" s="328" t="n"/>
      <c r="F28" s="301" t="n"/>
      <c r="G28" s="396" t="inlineStr">
        <is>
          <t>📉 GASTOS NEUROTEA</t>
        </is>
      </c>
      <c r="K28" s="301" t="n"/>
      <c r="L28" s="301" t="n"/>
    </row>
    <row r="29" ht="15" customHeight="1" s="221">
      <c r="A29" s="397" t="inlineStr">
        <is>
          <t>Detalle</t>
        </is>
      </c>
      <c r="B29" s="397" t="inlineStr">
        <is>
          <t>Estado</t>
        </is>
      </c>
      <c r="C29" s="397" t="inlineStr">
        <is>
          <t>Monto</t>
        </is>
      </c>
      <c r="D29" s="397" t="inlineStr">
        <is>
          <t>Venc.</t>
        </is>
      </c>
      <c r="E29" s="301" t="n"/>
      <c r="F29" s="301" t="n"/>
      <c r="G29" s="398" t="inlineStr">
        <is>
          <t>Detalle</t>
        </is>
      </c>
      <c r="H29" s="398" t="inlineStr">
        <is>
          <t>Estado</t>
        </is>
      </c>
      <c r="I29" s="398" t="inlineStr">
        <is>
          <t>Monto</t>
        </is>
      </c>
      <c r="J29" s="398" t="inlineStr">
        <is>
          <t>Venc.</t>
        </is>
      </c>
      <c r="K29" s="301" t="n"/>
      <c r="L29" s="301" t="n"/>
    </row>
    <row r="30" ht="15.75" customHeight="1" s="221">
      <c r="A30" s="399" t="inlineStr">
        <is>
          <t>► GASTOS FIJOS ✏️</t>
        </is>
      </c>
      <c r="E30" s="301" t="n"/>
      <c r="F30" s="301" t="n"/>
      <c r="G30" s="400" t="inlineStr">
        <is>
          <t>► GASTOS FIJOS ✏️</t>
        </is>
      </c>
      <c r="K30" s="301" t="n"/>
      <c r="L30" s="301" t="n"/>
    </row>
    <row r="31" ht="15" customHeight="1" s="221">
      <c r="A31" s="401" t="inlineStr">
        <is>
          <t>Salario Lili Doméstico</t>
        </is>
      </c>
      <c r="B31" s="401" t="inlineStr">
        <is>
          <t>Ninguno</t>
        </is>
      </c>
      <c r="C31" s="402" t="n"/>
      <c r="D31" s="458" t="n"/>
      <c r="E31" s="301" t="n"/>
      <c r="F31" s="301" t="n"/>
      <c r="G31" s="403" t="inlineStr">
        <is>
          <t>Alquiler 1 (Principal)</t>
        </is>
      </c>
      <c r="H31" s="403" t="inlineStr">
        <is>
          <t>Ninguno</t>
        </is>
      </c>
      <c r="I31" s="404" t="n">
        <v>0</v>
      </c>
      <c r="J31" s="459" t="n"/>
      <c r="K31" s="301" t="n"/>
      <c r="L31" s="301" t="n"/>
    </row>
    <row r="32" ht="15" customHeight="1" s="221">
      <c r="A32" s="405" t="inlineStr">
        <is>
          <t>Salario Laura Doméstico</t>
        </is>
      </c>
      <c r="B32" s="405" t="inlineStr">
        <is>
          <t>Ninguno</t>
        </is>
      </c>
      <c r="C32" s="406" t="n"/>
      <c r="D32" s="460" t="n"/>
      <c r="E32" s="301" t="n"/>
      <c r="F32" s="301" t="n"/>
      <c r="G32" s="407" t="inlineStr">
        <is>
          <t>Alquiler 2 (Secundario)</t>
        </is>
      </c>
      <c r="H32" s="407" t="inlineStr">
        <is>
          <t>Ninguno</t>
        </is>
      </c>
      <c r="I32" s="408" t="n">
        <v>0</v>
      </c>
      <c r="J32" s="461" t="n"/>
      <c r="K32" s="301" t="n"/>
      <c r="L32" s="301" t="n"/>
    </row>
    <row r="33" ht="15" customHeight="1" s="221">
      <c r="A33" s="401" t="inlineStr">
        <is>
          <t>Escuela Fabián y Brenda</t>
        </is>
      </c>
      <c r="B33" s="401" t="inlineStr">
        <is>
          <t>Ninguno</t>
        </is>
      </c>
      <c r="C33" s="402" t="n"/>
      <c r="D33" s="458" t="n"/>
      <c r="E33" s="301" t="n"/>
      <c r="F33" s="301" t="n"/>
      <c r="G33" s="403" t="inlineStr">
        <is>
          <t>Limpieza NeuroTEA</t>
        </is>
      </c>
      <c r="H33" s="403" t="inlineStr">
        <is>
          <t>Ninguno</t>
        </is>
      </c>
      <c r="I33" s="404" t="n">
        <v>0</v>
      </c>
      <c r="J33" s="459" t="n"/>
      <c r="K33" s="301" t="n"/>
      <c r="L33" s="301" t="n"/>
    </row>
    <row r="34" ht="15" customHeight="1" s="221">
      <c r="A34" s="405" t="inlineStr">
        <is>
          <t>Robótica Niños</t>
        </is>
      </c>
      <c r="B34" s="405" t="inlineStr">
        <is>
          <t>Ninguno</t>
        </is>
      </c>
      <c r="C34" s="406" t="n"/>
      <c r="D34" s="460" t="n"/>
      <c r="E34" s="301" t="n"/>
      <c r="F34" s="301" t="n"/>
      <c r="G34" s="400" t="inlineStr">
        <is>
          <t>► SUELDOS Y HONORARIOS ✏️</t>
        </is>
      </c>
      <c r="K34" s="301" t="n"/>
      <c r="L34" s="301" t="n"/>
    </row>
    <row r="35" ht="15" customHeight="1" s="221">
      <c r="A35" s="410" t="inlineStr">
        <is>
          <t>ANDE Casa</t>
        </is>
      </c>
      <c r="B35" s="410" t="inlineStr">
        <is>
          <t>Ninguno</t>
        </is>
      </c>
      <c r="C35" s="411" t="n"/>
      <c r="D35" s="463" t="n"/>
      <c r="E35" s="301" t="n"/>
      <c r="F35" s="301" t="n"/>
      <c r="G35" s="403" t="inlineStr">
        <is>
          <t>Sueldo Aracely</t>
        </is>
      </c>
      <c r="H35" s="403" t="inlineStr">
        <is>
          <t>Ninguno</t>
        </is>
      </c>
      <c r="I35" s="404" t="n">
        <v>0</v>
      </c>
      <c r="J35" s="459" t="n"/>
      <c r="K35" s="301" t="n"/>
      <c r="L35" s="301" t="n"/>
    </row>
    <row r="36" ht="15" customHeight="1" s="221">
      <c r="A36" s="405" t="inlineStr">
        <is>
          <t>Expensa Casa</t>
        </is>
      </c>
      <c r="B36" s="405" t="inlineStr">
        <is>
          <t>Ninguno</t>
        </is>
      </c>
      <c r="C36" s="406" t="n"/>
      <c r="D36" s="460" t="n"/>
      <c r="E36" s="301" t="n"/>
      <c r="F36" s="301" t="n"/>
      <c r="G36" s="407" t="inlineStr">
        <is>
          <t>Sueldo Fátima</t>
        </is>
      </c>
      <c r="H36" s="407" t="inlineStr">
        <is>
          <t>Ninguno</t>
        </is>
      </c>
      <c r="I36" s="408" t="n">
        <v>0</v>
      </c>
      <c r="J36" s="461" t="n"/>
      <c r="K36" s="301" t="n"/>
      <c r="L36" s="301" t="n"/>
    </row>
    <row r="37" ht="15" customHeight="1" s="221">
      <c r="A37" s="410" t="inlineStr">
        <is>
          <t>Cajubi Marco</t>
        </is>
      </c>
      <c r="B37" s="410" t="inlineStr">
        <is>
          <t>Ninguno</t>
        </is>
      </c>
      <c r="C37" s="411" t="n"/>
      <c r="D37" s="463" t="n"/>
      <c r="E37" s="301" t="n"/>
      <c r="F37" s="301" t="n"/>
      <c r="G37" s="403" t="inlineStr">
        <is>
          <t>Honorario Contador</t>
        </is>
      </c>
      <c r="H37" s="403" t="inlineStr">
        <is>
          <t>Ninguno</t>
        </is>
      </c>
      <c r="I37" s="404" t="n">
        <v>0</v>
      </c>
      <c r="J37" s="459" t="n"/>
      <c r="K37" s="301" t="n"/>
      <c r="L37" s="301" t="n"/>
    </row>
    <row r="38" ht="15" customHeight="1" s="221">
      <c r="A38" s="405" t="inlineStr">
        <is>
          <t>Mutual Marco</t>
        </is>
      </c>
      <c r="B38" s="405" t="inlineStr">
        <is>
          <t>Ninguno</t>
        </is>
      </c>
      <c r="C38" s="406" t="n"/>
      <c r="D38" s="460" t="n"/>
      <c r="E38" s="301" t="n"/>
      <c r="F38" s="301" t="n"/>
      <c r="G38" s="407" t="inlineStr">
        <is>
          <t>Salario Administrador</t>
        </is>
      </c>
      <c r="H38" s="407" t="inlineStr">
        <is>
          <t>Ninguno</t>
        </is>
      </c>
      <c r="I38" s="408" t="n">
        <v>0</v>
      </c>
      <c r="J38" s="461" t="n"/>
      <c r="K38" s="301" t="n"/>
      <c r="L38" s="301" t="n"/>
    </row>
    <row r="39" ht="15" customHeight="1" s="221">
      <c r="A39" s="410" t="inlineStr">
        <is>
          <t>Ña Luisa</t>
        </is>
      </c>
      <c r="B39" s="410" t="inlineStr">
        <is>
          <t>Ninguno</t>
        </is>
      </c>
      <c r="C39" s="411" t="n"/>
      <c r="D39" s="463" t="n"/>
      <c r="E39" s="301" t="n"/>
      <c r="F39" s="301" t="n"/>
      <c r="G39" s="403" t="inlineStr">
        <is>
          <t>Honorario Mant. Sistema</t>
        </is>
      </c>
      <c r="H39" s="403" t="inlineStr">
        <is>
          <t>Ninguno</t>
        </is>
      </c>
      <c r="I39" s="404" t="n">
        <v>0</v>
      </c>
      <c r="J39" s="459" t="n"/>
      <c r="K39" s="301" t="n"/>
      <c r="L39" s="301" t="n"/>
    </row>
    <row r="40" ht="15" customHeight="1" s="221">
      <c r="A40" s="405" t="inlineStr">
        <is>
          <t>Seguro Médico Papá y Mamá</t>
        </is>
      </c>
      <c r="B40" s="405" t="inlineStr">
        <is>
          <t>Ninguno</t>
        </is>
      </c>
      <c r="C40" s="406" t="n"/>
      <c r="D40" s="460" t="n"/>
      <c r="E40" s="301" t="n"/>
      <c r="F40" s="301" t="n"/>
      <c r="G40" s="400" t="inlineStr">
        <is>
          <t>► TELEFONÍA E INTERNET ✏️</t>
        </is>
      </c>
      <c r="K40" s="301" t="n"/>
      <c r="L40" s="301" t="n"/>
    </row>
    <row r="41" ht="15" customHeight="1" s="221">
      <c r="A41" s="413" t="inlineStr">
        <is>
          <t>► CUOTAS Y PRÉSTAMOS ✏️</t>
        </is>
      </c>
      <c r="B41" s="256" t="n"/>
      <c r="C41" s="256" t="n"/>
      <c r="D41" s="353" t="n"/>
      <c r="E41" s="301" t="n"/>
      <c r="F41" s="301" t="n"/>
      <c r="G41" s="403" t="inlineStr">
        <is>
          <t>Celular Tigo NeuroTEA</t>
        </is>
      </c>
      <c r="H41" s="403" t="inlineStr">
        <is>
          <t>Ninguno</t>
        </is>
      </c>
      <c r="I41" s="404" t="n">
        <v>0</v>
      </c>
      <c r="J41" s="459" t="n"/>
      <c r="K41" s="301" t="n"/>
      <c r="L41" s="301" t="n"/>
    </row>
    <row r="42" ht="15" customHeight="1" s="221">
      <c r="A42" s="410" t="inlineStr">
        <is>
          <t>Auto Laura Cuota</t>
        </is>
      </c>
      <c r="B42" s="410" t="inlineStr">
        <is>
          <t>Ninguno</t>
        </is>
      </c>
      <c r="C42" s="411" t="n"/>
      <c r="D42" s="463" t="n"/>
      <c r="E42" s="301" t="n"/>
      <c r="F42" s="301" t="n"/>
      <c r="G42" s="407" t="inlineStr">
        <is>
          <t>Celular Tigo Sistema</t>
        </is>
      </c>
      <c r="H42" s="407" t="inlineStr">
        <is>
          <t>Ninguno</t>
        </is>
      </c>
      <c r="I42" s="408" t="n">
        <v>0</v>
      </c>
      <c r="J42" s="461" t="n"/>
      <c r="K42" s="301" t="n"/>
      <c r="L42" s="301" t="n"/>
    </row>
    <row r="43" ht="15" customHeight="1" s="221">
      <c r="A43" s="405" t="inlineStr">
        <is>
          <t>Coop. Universitaria Clara</t>
        </is>
      </c>
      <c r="B43" s="405" t="inlineStr">
        <is>
          <t>Ninguno</t>
        </is>
      </c>
      <c r="C43" s="406" t="n"/>
      <c r="D43" s="460" t="n"/>
      <c r="E43" s="301" t="n"/>
      <c r="F43" s="301" t="n"/>
      <c r="G43" s="403" t="inlineStr">
        <is>
          <t>WhatsFlow</t>
        </is>
      </c>
      <c r="H43" s="403" t="inlineStr">
        <is>
          <t>Ninguno</t>
        </is>
      </c>
      <c r="I43" s="404" t="n">
        <v>0</v>
      </c>
      <c r="J43" s="459" t="n"/>
      <c r="K43" s="301" t="n"/>
      <c r="L43" s="301" t="n"/>
    </row>
    <row r="44" ht="15" customHeight="1" s="221">
      <c r="A44" s="410" t="inlineStr">
        <is>
          <t>Coomecipar Clara</t>
        </is>
      </c>
      <c r="B44" s="410" t="inlineStr">
        <is>
          <t>Ninguno</t>
        </is>
      </c>
      <c r="C44" s="411" t="n"/>
      <c r="D44" s="463" t="n"/>
      <c r="E44" s="301" t="n"/>
      <c r="F44" s="301" t="n"/>
      <c r="G44" s="407" t="inlineStr">
        <is>
          <t>Internet NeuroTEA</t>
        </is>
      </c>
      <c r="H44" s="407" t="inlineStr">
        <is>
          <t>Ninguno</t>
        </is>
      </c>
      <c r="I44" s="408" t="n">
        <v>0</v>
      </c>
      <c r="J44" s="461" t="n"/>
      <c r="K44" s="301" t="n"/>
      <c r="L44" s="301" t="n"/>
    </row>
    <row r="45" ht="15" customHeight="1" s="221">
      <c r="A45" s="414" t="inlineStr">
        <is>
          <t>Tarjeta Cred. Coomecipar</t>
        </is>
      </c>
      <c r="B45" s="414" t="inlineStr">
        <is>
          <t>Ninguno</t>
        </is>
      </c>
      <c r="C45" s="415" t="n"/>
      <c r="D45" s="465" t="n"/>
      <c r="E45" s="301" t="n"/>
      <c r="F45" s="301" t="n"/>
      <c r="G45" s="400" t="inlineStr">
        <is>
          <t>► IMPUESTOS ✏️</t>
        </is>
      </c>
      <c r="K45" s="301" t="n"/>
      <c r="L45" s="301" t="n"/>
    </row>
    <row r="46" ht="15" customHeight="1" s="221">
      <c r="A46" s="401" t="inlineStr">
        <is>
          <t>Solar Préstamo 1</t>
        </is>
      </c>
      <c r="B46" s="401" t="inlineStr">
        <is>
          <t>Ninguno</t>
        </is>
      </c>
      <c r="C46" s="402" t="n"/>
      <c r="D46" s="458" t="n"/>
      <c r="E46" s="301" t="n"/>
      <c r="F46" s="301" t="n"/>
      <c r="G46" s="403" t="inlineStr">
        <is>
          <t>IVA</t>
        </is>
      </c>
      <c r="H46" s="403" t="inlineStr">
        <is>
          <t>Ninguno</t>
        </is>
      </c>
      <c r="I46" s="404" t="n">
        <v>0</v>
      </c>
      <c r="J46" s="459" t="n"/>
      <c r="K46" s="301" t="n"/>
      <c r="L46" s="301" t="n"/>
    </row>
    <row r="47" ht="15" customHeight="1" s="221">
      <c r="A47" s="405" t="inlineStr">
        <is>
          <t>Solar Préstamo 2</t>
        </is>
      </c>
      <c r="B47" s="405" t="inlineStr">
        <is>
          <t>Ninguno</t>
        </is>
      </c>
      <c r="C47" s="406" t="n"/>
      <c r="D47" s="460" t="n"/>
      <c r="E47" s="301" t="n"/>
      <c r="F47" s="301" t="n"/>
      <c r="G47" s="400" t="inlineStr">
        <is>
          <t>► EVENTOS NT ✏️</t>
        </is>
      </c>
      <c r="K47" s="301" t="n"/>
      <c r="L47" s="301" t="n"/>
    </row>
    <row r="48" ht="15" customHeight="1" s="221">
      <c r="A48" s="410" t="inlineStr">
        <is>
          <t>Préstamo Lizzi Sueldos</t>
        </is>
      </c>
      <c r="B48" s="410" t="inlineStr">
        <is>
          <t>Ninguno</t>
        </is>
      </c>
      <c r="C48" s="411" t="n"/>
      <c r="D48" s="463" t="n"/>
      <c r="E48" s="301" t="n"/>
      <c r="F48" s="301" t="n"/>
      <c r="G48" s="403" t="inlineStr">
        <is>
          <t>Día del Niño NT</t>
        </is>
      </c>
      <c r="H48" s="403" t="inlineStr">
        <is>
          <t>Ninguno</t>
        </is>
      </c>
      <c r="I48" s="404" t="n">
        <v>0</v>
      </c>
      <c r="J48" s="459" t="n"/>
      <c r="K48" s="301" t="n"/>
      <c r="L48" s="301" t="n"/>
    </row>
    <row r="49" ht="15" customHeight="1" s="221">
      <c r="A49" s="405" t="inlineStr">
        <is>
          <t>Show Congelador</t>
        </is>
      </c>
      <c r="B49" s="405" t="inlineStr">
        <is>
          <t>Ninguno</t>
        </is>
      </c>
      <c r="C49" s="406" t="n"/>
      <c r="D49" s="460" t="n"/>
      <c r="E49" s="301" t="n"/>
      <c r="F49" s="301" t="n"/>
      <c r="G49" s="407" t="inlineStr">
        <is>
          <t>San Juan NT</t>
        </is>
      </c>
      <c r="H49" s="407" t="inlineStr">
        <is>
          <t>Ninguno</t>
        </is>
      </c>
      <c r="I49" s="408" t="n">
        <v>0</v>
      </c>
      <c r="J49" s="461" t="n"/>
      <c r="K49" s="301" t="n"/>
      <c r="L49" s="301" t="n"/>
    </row>
    <row r="50" ht="15" customHeight="1" s="221">
      <c r="A50" s="410" t="inlineStr">
        <is>
          <t>Olier Heladera</t>
        </is>
      </c>
      <c r="B50" s="410" t="inlineStr">
        <is>
          <t>Ninguno</t>
        </is>
      </c>
      <c r="C50" s="411" t="n"/>
      <c r="D50" s="463" t="n"/>
      <c r="E50" s="301" t="n"/>
      <c r="F50" s="301" t="n"/>
      <c r="G50" s="403" t="inlineStr">
        <is>
          <t>Día del Autismo NT</t>
        </is>
      </c>
      <c r="H50" s="403" t="inlineStr">
        <is>
          <t>Ninguno</t>
        </is>
      </c>
      <c r="I50" s="404" t="n">
        <v>0</v>
      </c>
      <c r="J50" s="459" t="n"/>
      <c r="K50" s="301" t="n"/>
      <c r="L50" s="301" t="n"/>
    </row>
    <row r="51" ht="15" customHeight="1" s="221">
      <c r="A51" s="413" t="inlineStr">
        <is>
          <t>► SUSCRIPCIONES E INTERNET ✏️</t>
        </is>
      </c>
      <c r="B51" s="256" t="n"/>
      <c r="C51" s="256" t="n"/>
      <c r="D51" s="353" t="n"/>
      <c r="E51" s="301" t="n"/>
      <c r="F51" s="301" t="n"/>
      <c r="G51" s="407" t="inlineStr">
        <is>
          <t>Clausura Padres NT</t>
        </is>
      </c>
      <c r="H51" s="407" t="inlineStr">
        <is>
          <t>Ninguno</t>
        </is>
      </c>
      <c r="I51" s="408" t="n">
        <v>0</v>
      </c>
      <c r="J51" s="461" t="n"/>
      <c r="K51" s="301" t="n"/>
      <c r="L51" s="301" t="n"/>
    </row>
    <row r="52" ht="15" customHeight="1" s="221">
      <c r="A52" s="410" t="inlineStr">
        <is>
          <t>Giganet</t>
        </is>
      </c>
      <c r="B52" s="410" t="inlineStr">
        <is>
          <t>Ninguno</t>
        </is>
      </c>
      <c r="C52" s="411" t="n"/>
      <c r="D52" s="463" t="n"/>
      <c r="E52" s="301" t="n"/>
      <c r="F52" s="301" t="n"/>
      <c r="G52" s="403" t="inlineStr">
        <is>
          <t>Navidad Papá Noel NT</t>
        </is>
      </c>
      <c r="H52" s="403" t="inlineStr">
        <is>
          <t>Ninguno</t>
        </is>
      </c>
      <c r="I52" s="404" t="n">
        <v>0</v>
      </c>
      <c r="J52" s="459" t="n"/>
      <c r="K52" s="301" t="n"/>
      <c r="L52" s="301" t="n"/>
    </row>
    <row r="53" ht="15" customHeight="1" s="221">
      <c r="A53" s="405" t="inlineStr">
        <is>
          <t>Tigo Internet/Celulares</t>
        </is>
      </c>
      <c r="B53" s="405" t="inlineStr">
        <is>
          <t>Ninguno</t>
        </is>
      </c>
      <c r="C53" s="406" t="n"/>
      <c r="D53" s="460" t="n"/>
      <c r="E53" s="301" t="n"/>
      <c r="F53" s="301" t="n"/>
      <c r="G53" s="407" t="inlineStr">
        <is>
          <t>Cena Fin de Año NT</t>
        </is>
      </c>
      <c r="H53" s="407" t="inlineStr">
        <is>
          <t>Ninguno</t>
        </is>
      </c>
      <c r="I53" s="408" t="n">
        <v>0</v>
      </c>
      <c r="J53" s="461" t="n"/>
      <c r="K53" s="301" t="n"/>
      <c r="L53" s="301" t="n"/>
    </row>
    <row r="54" ht="15" customHeight="1" s="221">
      <c r="A54" s="410" t="inlineStr">
        <is>
          <t>Tigo Familiar</t>
        </is>
      </c>
      <c r="B54" s="410" t="inlineStr">
        <is>
          <t>Ninguno</t>
        </is>
      </c>
      <c r="C54" s="411" t="n"/>
      <c r="D54" s="463" t="n"/>
      <c r="E54" s="301" t="n"/>
      <c r="F54" s="301" t="n"/>
      <c r="G54" s="400" t="inlineStr">
        <is>
          <t>► GASTOS VARIABLES NT 🔗</t>
        </is>
      </c>
      <c r="K54" s="301" t="n"/>
      <c r="L54" s="301" t="n"/>
    </row>
    <row r="55" ht="15" customHeight="1" s="221">
      <c r="A55" s="405" t="inlineStr">
        <is>
          <t>Google One</t>
        </is>
      </c>
      <c r="B55" s="405" t="inlineStr">
        <is>
          <t>Ninguno</t>
        </is>
      </c>
      <c r="C55" s="406" t="n"/>
      <c r="D55" s="460" t="n"/>
      <c r="E55" s="301" t="n"/>
      <c r="F55" s="301" t="n"/>
      <c r="G55" s="403" t="inlineStr">
        <is>
          <t>Insumos NT</t>
        </is>
      </c>
      <c r="H55" s="403" t="inlineStr">
        <is>
          <t>Ninguno</t>
        </is>
      </c>
      <c r="I55" s="404">
        <f>SUMIFS('Ing-Egr Agosto 2026'!F4:F103,'Ing-Egr Agosto 2026'!B4:B103,"Egreso NT",'Ing-Egr Agosto 2026'!C4:C103,G55)</f>
        <v/>
      </c>
      <c r="J55" s="459" t="n"/>
      <c r="K55" s="301" t="n"/>
      <c r="L55" s="301" t="n"/>
    </row>
    <row r="56" ht="15" customHeight="1" s="221">
      <c r="A56" s="410" t="inlineStr">
        <is>
          <t>ChatGPT</t>
        </is>
      </c>
      <c r="B56" s="410" t="inlineStr">
        <is>
          <t>Ninguno</t>
        </is>
      </c>
      <c r="C56" s="411" t="n"/>
      <c r="D56" s="463" t="n"/>
      <c r="E56" s="301" t="n"/>
      <c r="F56" s="301" t="n"/>
      <c r="G56" s="407" t="inlineStr">
        <is>
          <t>Papelería NT</t>
        </is>
      </c>
      <c r="H56" s="407" t="inlineStr">
        <is>
          <t>Ninguno</t>
        </is>
      </c>
      <c r="I56" s="408">
        <f>SUMIFS('Ing-Egr Agosto 2026'!F4:F103,'Ing-Egr Agosto 2026'!B4:B103,"Egreso NT",'Ing-Egr Agosto 2026'!C4:C103,G56)</f>
        <v/>
      </c>
      <c r="J56" s="461" t="n"/>
      <c r="K56" s="301" t="n"/>
      <c r="L56" s="301" t="n"/>
    </row>
    <row r="57" ht="15" customHeight="1" s="221">
      <c r="A57" s="414" t="inlineStr">
        <is>
          <t>Claude Marco</t>
        </is>
      </c>
      <c r="B57" s="414" t="inlineStr">
        <is>
          <t>Ninguno</t>
        </is>
      </c>
      <c r="C57" s="415" t="n"/>
      <c r="D57" s="465" t="n"/>
      <c r="E57" s="301" t="n"/>
      <c r="F57" s="301" t="n"/>
      <c r="G57" s="403" t="inlineStr">
        <is>
          <t>Mantenimiento NT</t>
        </is>
      </c>
      <c r="H57" s="403" t="inlineStr">
        <is>
          <t>Ninguno</t>
        </is>
      </c>
      <c r="I57" s="404">
        <f>SUMIFS('Ing-Egr Agosto 2026'!F4:F103,'Ing-Egr Agosto 2026'!B4:B103,"Egreso NT",'Ing-Egr Agosto 2026'!C4:C103,G57)</f>
        <v/>
      </c>
      <c r="J57" s="459" t="n"/>
      <c r="K57" s="301" t="n"/>
      <c r="L57" s="301" t="n"/>
    </row>
    <row r="58" ht="15" customHeight="1" s="221">
      <c r="A58" s="401" t="inlineStr">
        <is>
          <t>Claude Clara</t>
        </is>
      </c>
      <c r="B58" s="401" t="inlineStr">
        <is>
          <t>Ninguno</t>
        </is>
      </c>
      <c r="C58" s="402" t="n"/>
      <c r="D58" s="458" t="n"/>
      <c r="E58" s="301" t="n"/>
      <c r="F58" s="301" t="n"/>
      <c r="G58" s="407" t="inlineStr">
        <is>
          <t>Gastos Cursos NT</t>
        </is>
      </c>
      <c r="H58" s="407" t="inlineStr">
        <is>
          <t>Ninguno</t>
        </is>
      </c>
      <c r="I58" s="416">
        <f>SUMIFS('Ing-Egr Agosto 2026'!F4:F103,'Ing-Egr Agosto 2026'!B4:B103,"Egreso NT",'Ing-Egr Agosto 2026'!C4:C103,G58)</f>
        <v/>
      </c>
      <c r="J58" s="461" t="n"/>
      <c r="K58" s="301" t="n"/>
      <c r="L58" s="301" t="n"/>
    </row>
    <row r="59" ht="15" customHeight="1" s="221">
      <c r="A59" s="405" t="inlineStr">
        <is>
          <t>iLovePDF</t>
        </is>
      </c>
      <c r="B59" s="405" t="inlineStr">
        <is>
          <t>Ninguno</t>
        </is>
      </c>
      <c r="C59" s="406" t="n"/>
      <c r="D59" s="460" t="n"/>
      <c r="E59" s="301" t="n"/>
      <c r="F59" s="301" t="n"/>
      <c r="G59" s="403" t="inlineStr">
        <is>
          <t>Gastos Varios NT</t>
        </is>
      </c>
      <c r="H59" s="403" t="inlineStr">
        <is>
          <t>Ninguno</t>
        </is>
      </c>
      <c r="I59" s="417">
        <f>SUMIFS('Ing-Egr Agosto 2026'!F4:F103,'Ing-Egr Agosto 2026'!B4:B103,"Egreso NT",'Ing-Egr Agosto 2026'!C4:C103,G59)</f>
        <v/>
      </c>
      <c r="J59" s="459" t="n"/>
      <c r="K59" s="301" t="n"/>
      <c r="L59" s="301" t="n"/>
    </row>
    <row r="60" ht="15" customHeight="1" s="221">
      <c r="A60" s="410" t="inlineStr">
        <is>
          <t>Scribd</t>
        </is>
      </c>
      <c r="B60" s="410" t="inlineStr">
        <is>
          <t>Ninguno</t>
        </is>
      </c>
      <c r="C60" s="411" t="n"/>
      <c r="D60" s="463" t="n"/>
      <c r="E60" s="301" t="n"/>
      <c r="F60" s="301" t="n"/>
      <c r="G60" s="407" t="inlineStr">
        <is>
          <t>Reserva NT 1</t>
        </is>
      </c>
      <c r="H60" s="407" t="inlineStr">
        <is>
          <t>Ninguno</t>
        </is>
      </c>
      <c r="I60" s="408">
        <f>SUMIFS('Ing-Egr Agosto 2026'!F4:F103,'Ing-Egr Agosto 2026'!B4:B103,"Egreso NT",'Ing-Egr Agosto 2026'!C4:C103,G60)</f>
        <v/>
      </c>
      <c r="J60" s="461" t="n"/>
      <c r="K60" s="301" t="n"/>
      <c r="L60" s="301" t="n"/>
    </row>
    <row r="61" ht="15" customHeight="1" s="221">
      <c r="A61" s="405" t="inlineStr">
        <is>
          <t>Netflix</t>
        </is>
      </c>
      <c r="B61" s="405" t="inlineStr">
        <is>
          <t>Ninguno</t>
        </is>
      </c>
      <c r="C61" s="406" t="n"/>
      <c r="D61" s="460" t="n"/>
      <c r="E61" s="301" t="n"/>
      <c r="F61" s="301" t="n"/>
      <c r="G61" s="403" t="inlineStr">
        <is>
          <t>Reserva NT 2</t>
        </is>
      </c>
      <c r="H61" s="403" t="inlineStr">
        <is>
          <t>Ninguno</t>
        </is>
      </c>
      <c r="I61" s="404">
        <f>SUMIFS('Ing-Egr Agosto 2026'!F4:F103,'Ing-Egr Agosto 2026'!B4:B103,"Egreso NT",'Ing-Egr Agosto 2026'!C4:C103,G61)</f>
        <v/>
      </c>
      <c r="J61" s="459" t="n"/>
      <c r="K61" s="301" t="n"/>
      <c r="L61" s="301" t="n"/>
    </row>
    <row r="62" ht="15" customHeight="1" s="221">
      <c r="A62" s="413" t="inlineStr">
        <is>
          <t>► GASTOS VARIABLES 🔗</t>
        </is>
      </c>
      <c r="B62" s="256" t="n"/>
      <c r="C62" s="256" t="n"/>
      <c r="D62" s="353" t="n"/>
      <c r="E62" s="301" t="n"/>
      <c r="F62" s="301" t="n"/>
      <c r="G62" s="407" t="inlineStr">
        <is>
          <t>Reserva NT 3</t>
        </is>
      </c>
      <c r="H62" s="407" t="inlineStr">
        <is>
          <t>Ninguno</t>
        </is>
      </c>
      <c r="I62" s="408">
        <f>SUMIFS('Ing-Egr Agosto 2026'!F4:F103,'Ing-Egr Agosto 2026'!B4:B103,"Egreso NT",'Ing-Egr Agosto 2026'!C4:C103,G62)</f>
        <v/>
      </c>
      <c r="J62" s="461" t="n"/>
      <c r="K62" s="301" t="n"/>
      <c r="L62" s="301" t="n"/>
    </row>
    <row r="63" ht="15" customHeight="1" s="221">
      <c r="A63" s="410" t="inlineStr">
        <is>
          <t>Combustible</t>
        </is>
      </c>
      <c r="B63" s="410" t="inlineStr">
        <is>
          <t>Ninguno</t>
        </is>
      </c>
      <c r="C63" s="411">
        <f>SUMIFS('Ing-Egr Agosto 2026'!F4:F103,'Ing-Egr Agosto 2026'!B4:B103,"Egreso Familiar",'Ing-Egr Agosto 2026'!C4:C103,A63)</f>
        <v/>
      </c>
      <c r="D63" s="463" t="n"/>
      <c r="E63" s="301" t="n"/>
      <c r="F63" s="301" t="n"/>
      <c r="G63" s="301" t="n"/>
      <c r="H63" s="301" t="n"/>
      <c r="I63" s="301" t="n"/>
      <c r="J63" s="466" t="n"/>
      <c r="K63" s="301" t="n"/>
      <c r="L63" s="301" t="n"/>
    </row>
    <row r="64" ht="15" customHeight="1" s="221">
      <c r="A64" s="405" t="inlineStr">
        <is>
          <t>Supermercado</t>
        </is>
      </c>
      <c r="B64" s="405" t="inlineStr">
        <is>
          <t>Ninguno</t>
        </is>
      </c>
      <c r="C64" s="406">
        <f>SUMIFS('Ing-Egr Agosto 2026'!F4:F103,'Ing-Egr Agosto 2026'!B4:B103,"Egreso Familiar",'Ing-Egr Agosto 2026'!C4:C103,A64)</f>
        <v/>
      </c>
      <c r="D64" s="460" t="n"/>
      <c r="E64" s="301" t="n"/>
      <c r="F64" s="301" t="n"/>
      <c r="G64" s="418" t="inlineStr">
        <is>
          <t>TOTAL NT PAGADOS</t>
        </is>
      </c>
      <c r="I64" s="419">
        <f>SUMIF(H30:H62,"Pagado",I30:I62)</f>
        <v/>
      </c>
      <c r="J64" s="467" t="n"/>
      <c r="K64" s="301" t="n"/>
      <c r="L64" s="301" t="n"/>
    </row>
    <row r="65" ht="15" customHeight="1" s="221">
      <c r="A65" s="410" t="inlineStr">
        <is>
          <t>Farmacia</t>
        </is>
      </c>
      <c r="B65" s="410" t="inlineStr">
        <is>
          <t>Ninguno</t>
        </is>
      </c>
      <c r="C65" s="411">
        <f>SUMIFS('Ing-Egr Agosto 2026'!F4:F103,'Ing-Egr Agosto 2026'!B4:B103,"Egreso Familiar",'Ing-Egr Agosto 2026'!C4:C103,A65)</f>
        <v/>
      </c>
      <c r="D65" s="468">
        <f>C72</f>
        <v/>
      </c>
      <c r="E65" s="301" t="n"/>
      <c r="F65" s="301" t="n"/>
      <c r="G65" s="422" t="inlineStr">
        <is>
          <t>TOTAL NT PENDIENTES</t>
        </is>
      </c>
      <c r="I65" s="423">
        <f>SUMIF(H30:H62,"Pendiente",I30:I62)</f>
        <v/>
      </c>
      <c r="J65" s="469" t="n"/>
      <c r="K65" s="301" t="n"/>
      <c r="L65" s="301" t="n"/>
    </row>
    <row r="66" ht="15" customHeight="1" s="221">
      <c r="A66" s="405" t="inlineStr">
        <is>
          <t>Recreación</t>
        </is>
      </c>
      <c r="B66" s="405" t="inlineStr">
        <is>
          <t>Ninguno</t>
        </is>
      </c>
      <c r="C66" s="406">
        <f>SUMIFS('Ing-Egr Agosto 2026'!F4:F103,'Ing-Egr Agosto 2026'!B4:B103,"Egreso Familiar",'Ing-Egr Agosto 2026'!C4:C103,A66)</f>
        <v/>
      </c>
      <c r="D66" s="470">
        <f>C73</f>
        <v/>
      </c>
      <c r="E66" s="301" t="n"/>
      <c r="F66" s="301" t="n"/>
      <c r="G66" s="301" t="n"/>
      <c r="H66" s="301" t="n"/>
      <c r="I66" s="301" t="n"/>
      <c r="J66" s="466" t="n"/>
      <c r="K66" s="301" t="n"/>
      <c r="L66" s="301" t="n"/>
    </row>
    <row r="67" ht="15" customHeight="1" s="221">
      <c r="A67" s="410" t="inlineStr">
        <is>
          <t>Gastos Varios</t>
        </is>
      </c>
      <c r="B67" s="410" t="inlineStr">
        <is>
          <t>Ninguno</t>
        </is>
      </c>
      <c r="C67" s="411">
        <f>SUMIFS('Ing-Egr Agosto 2026'!F4:F103,'Ing-Egr Agosto 2026'!B4:B103,"Egreso Familiar",'Ing-Egr Agosto 2026'!C4:C103,A67)</f>
        <v/>
      </c>
      <c r="D67" s="463" t="n"/>
      <c r="E67" s="301" t="n"/>
      <c r="F67" s="301" t="n"/>
      <c r="G67" s="386" t="inlineStr">
        <is>
          <t>📊 SALUD FINANCIERA NEUROTEA</t>
        </is>
      </c>
      <c r="L67" s="301" t="n"/>
    </row>
    <row r="68" ht="15" customHeight="1" s="221">
      <c r="A68" s="405" t="inlineStr">
        <is>
          <t>Reserva Fam 1</t>
        </is>
      </c>
      <c r="B68" s="405" t="inlineStr">
        <is>
          <t>Ninguno</t>
        </is>
      </c>
      <c r="C68" s="406">
        <f>SUMIFS('Ing-Egr Agosto 2026'!F4:F103,'Ing-Egr Agosto 2026'!B4:B103,"Egreso Familiar",'Ing-Egr Agosto 2026'!C4:C103,A68)</f>
        <v/>
      </c>
      <c r="D68" s="460" t="n"/>
      <c r="E68" s="301" t="n"/>
      <c r="F68" s="301" t="n"/>
      <c r="G68" s="398" t="inlineStr">
        <is>
          <t>Concepto</t>
        </is>
      </c>
      <c r="H68" s="398" t="inlineStr">
        <is>
          <t>% Ideal</t>
        </is>
      </c>
      <c r="I68" s="426" t="inlineStr">
        <is>
          <t>Monto Ideal</t>
        </is>
      </c>
      <c r="J68" s="471" t="inlineStr">
        <is>
          <t>Monto Real</t>
        </is>
      </c>
      <c r="K68" s="398" t="inlineStr">
        <is>
          <t>Estado</t>
        </is>
      </c>
      <c r="L68" s="301" t="n"/>
    </row>
    <row r="69" ht="15" customHeight="1" s="221">
      <c r="A69" s="410" t="inlineStr">
        <is>
          <t>Reserva Fam 2</t>
        </is>
      </c>
      <c r="B69" s="410" t="inlineStr">
        <is>
          <t>Ninguno</t>
        </is>
      </c>
      <c r="C69" s="411">
        <f>SUMIFS('Ing-Egr Agosto 2026'!F4:F103,'Ing-Egr Agosto 2026'!B4:B103,"Egreso Familiar",'Ing-Egr Agosto 2026'!C4:C103,A69)</f>
        <v/>
      </c>
      <c r="D69" s="463" t="n"/>
      <c r="E69" s="301" t="n"/>
      <c r="F69" s="301" t="n"/>
      <c r="G69" s="301" t="inlineStr">
        <is>
          <t>Gastos Operativos (máx 75%)</t>
        </is>
      </c>
      <c r="H69" s="427" t="n">
        <v>0.75</v>
      </c>
      <c r="I69" s="328">
        <f>J12*0.75</f>
        <v/>
      </c>
      <c r="J69" s="466">
        <f>I64+I65</f>
        <v/>
      </c>
      <c r="K69" s="428">
        <f>IF(J12=0,"-",IF(J69/J12&lt;=0.75,"🟢 OK",IF(J69/J12&lt;=0.9,"🟡 PRECAUCIÓN","🔴 ALARMA")))</f>
        <v/>
      </c>
      <c r="L69" s="301" t="n"/>
    </row>
    <row r="70" ht="15" customHeight="1" s="221">
      <c r="A70" s="414" t="inlineStr">
        <is>
          <t>Reserva Fam 3</t>
        </is>
      </c>
      <c r="B70" s="414" t="inlineStr">
        <is>
          <t>Ninguno</t>
        </is>
      </c>
      <c r="C70" s="415">
        <f>SUMIFS('Ing-Egr Agosto 2026'!F4:F103,'Ing-Egr Agosto 2026'!B4:B103,"Egreso Familiar",'Ing-Egr Agosto 2026'!C4:C103,A70)</f>
        <v/>
      </c>
      <c r="D70" s="465" t="n"/>
      <c r="E70" s="301" t="n"/>
      <c r="F70" s="301" t="n"/>
      <c r="G70" s="301" t="inlineStr">
        <is>
          <t>Ganancia (10%)</t>
        </is>
      </c>
      <c r="H70" s="427" t="n">
        <v>0.1</v>
      </c>
      <c r="I70" s="328">
        <f>J12*0.1</f>
        <v/>
      </c>
      <c r="J70" s="466">
        <f>D22</f>
        <v/>
      </c>
      <c r="K70" s="429">
        <f>IF(J70&gt;=I70,"🟢","🔴")</f>
        <v/>
      </c>
      <c r="L70" s="301" t="n"/>
    </row>
    <row r="71" ht="15" customHeight="1" s="221">
      <c r="A71" s="301" t="n"/>
      <c r="B71" s="301" t="n"/>
      <c r="C71" s="301" t="n"/>
      <c r="D71" s="301" t="n"/>
      <c r="E71" s="301" t="n"/>
      <c r="F71" s="301" t="n"/>
      <c r="G71" s="301" t="inlineStr">
        <is>
          <t>Inversiones (5%)</t>
        </is>
      </c>
      <c r="H71" s="427" t="n">
        <v>0.05</v>
      </c>
      <c r="I71" s="328">
        <f>J12*0.05</f>
        <v/>
      </c>
      <c r="J71" s="328" t="n">
        <v>0</v>
      </c>
      <c r="K71" s="429">
        <f>IF(J71&gt;=I71,"🟢","🔴")</f>
        <v/>
      </c>
      <c r="L71" s="301" t="n"/>
    </row>
    <row r="72" ht="15" customHeight="1" s="221">
      <c r="A72" s="430" t="inlineStr">
        <is>
          <t>TOTAL FAM. PAGADOS</t>
        </is>
      </c>
      <c r="B72" s="353" t="n"/>
      <c r="C72" s="431">
        <f>SUMIF(B30:B70,"Pagado",C30:C70)</f>
        <v/>
      </c>
      <c r="D72" s="432" t="n"/>
      <c r="E72" s="301" t="n"/>
      <c r="F72" s="301" t="n"/>
      <c r="G72" s="301" t="inlineStr">
        <is>
          <t>Imprevistos (5%)</t>
        </is>
      </c>
      <c r="H72" s="427" t="n">
        <v>0.05</v>
      </c>
      <c r="I72" s="328">
        <f>J12*0.05</f>
        <v/>
      </c>
      <c r="J72" s="328" t="n">
        <v>0</v>
      </c>
      <c r="K72" s="429">
        <f>IF(J72&gt;=I72,"🟢","🔴")</f>
        <v/>
      </c>
      <c r="L72" s="301" t="n"/>
    </row>
    <row r="73" ht="15" customHeight="1" s="221">
      <c r="A73" s="433" t="inlineStr">
        <is>
          <t>TOTAL FAM. PENDIENTES</t>
        </is>
      </c>
      <c r="B73" s="353" t="n"/>
      <c r="C73" s="434">
        <f>SUMIF(B30:B70,"Pendiente",C30:C70)</f>
        <v/>
      </c>
      <c r="D73" s="435" t="n"/>
      <c r="E73" s="301" t="n"/>
      <c r="F73" s="301" t="n"/>
      <c r="G73" s="301" t="inlineStr">
        <is>
          <t>Desvío Imprevisto (5%)</t>
        </is>
      </c>
      <c r="H73" s="427" t="n">
        <v>0.05</v>
      </c>
      <c r="I73" s="328">
        <f>J12*0.05</f>
        <v/>
      </c>
      <c r="J73" s="328" t="n">
        <v>0</v>
      </c>
      <c r="K73" s="429">
        <f>IF(J73&gt;=I73,"🟢","🔴")</f>
        <v/>
      </c>
      <c r="L73" s="301" t="n"/>
    </row>
    <row r="74" ht="15" customHeight="1" s="221">
      <c r="A74" s="354" t="n"/>
      <c r="B74" s="354" t="n"/>
      <c r="C74" s="359" t="n"/>
      <c r="D74" s="360" t="n"/>
      <c r="E74" s="301" t="n"/>
      <c r="F74" s="301" t="n"/>
      <c r="G74" s="223" t="inlineStr">
        <is>
          <t>TOTAL</t>
        </is>
      </c>
      <c r="H74" s="436">
        <f>SUM(H69:H73)</f>
        <v/>
      </c>
      <c r="I74" s="437">
        <f>SUM(I69:I73)</f>
        <v/>
      </c>
      <c r="J74" s="437">
        <f>SUM(J69:J73)</f>
        <v/>
      </c>
      <c r="K74" s="301" t="n"/>
      <c r="L74" s="301" t="n"/>
    </row>
    <row r="75" ht="15" customHeight="1" s="221">
      <c r="A75" s="354" t="n"/>
      <c r="B75" s="354" t="n"/>
      <c r="C75" s="359" t="n"/>
      <c r="D75" s="360" t="n"/>
      <c r="E75" s="301" t="n"/>
      <c r="F75" s="301" t="n"/>
      <c r="G75" s="301" t="n"/>
      <c r="H75" s="301" t="n"/>
      <c r="I75" s="301" t="n"/>
      <c r="J75" s="301" t="n"/>
      <c r="K75" s="301" t="n"/>
      <c r="L75" s="301" t="n"/>
    </row>
    <row r="76" ht="15" customHeight="1" s="221">
      <c r="A76" s="354" t="n"/>
      <c r="B76" s="354" t="n"/>
      <c r="C76" s="359" t="n"/>
      <c r="D76" s="360" t="n"/>
      <c r="E76" s="301" t="n"/>
      <c r="F76" s="301" t="n"/>
      <c r="G76" s="223" t="inlineStr">
        <is>
          <t>% GASTOS SOBRE INGRESO:</t>
        </is>
      </c>
      <c r="H76" s="301" t="n"/>
      <c r="I76" s="301" t="n"/>
      <c r="J76" s="438">
        <f>IF(J12=0,0,J69/J12)</f>
        <v/>
      </c>
      <c r="K76" s="301" t="n"/>
      <c r="L76" s="301" t="n"/>
    </row>
    <row r="77" ht="15" customHeight="1" s="221">
      <c r="A77" s="354" t="n"/>
      <c r="B77" s="354" t="n"/>
      <c r="C77" s="359" t="n"/>
      <c r="D77" s="360" t="n"/>
      <c r="E77" s="301" t="n"/>
      <c r="F77" s="301" t="n"/>
      <c r="G77" s="223" t="inlineStr">
        <is>
          <t>DIAGNÓSTICO:</t>
        </is>
      </c>
      <c r="H77" s="301" t="n"/>
      <c r="I77" s="301" t="n"/>
      <c r="J77" s="439">
        <f>IF(J12=0,"Sin datos",IF(J69/J12&lt;=0.75,"🟢 CLÍNICA SANA",IF(J69/J12&lt;=0.9,"🟡 REVISAR GASTOS","🔴 SITUACIÓN CRÍTICA")))</f>
        <v/>
      </c>
      <c r="L77" s="301" t="n"/>
    </row>
    <row r="78" ht="15" customHeight="1" s="221">
      <c r="A78" s="354" t="n"/>
      <c r="B78" s="354" t="n"/>
      <c r="C78" s="359" t="n"/>
      <c r="D78" s="360" t="n"/>
      <c r="E78" s="301" t="n"/>
      <c r="F78" s="301" t="n"/>
      <c r="G78" s="301" t="n"/>
      <c r="H78" s="301" t="n"/>
      <c r="I78" s="301" t="n"/>
      <c r="J78" s="301" t="n"/>
      <c r="K78" s="301" t="n"/>
      <c r="L78" s="301" t="n"/>
    </row>
    <row r="79" ht="15" customHeight="1" s="221">
      <c r="A79" s="354" t="n"/>
      <c r="B79" s="354" t="n"/>
      <c r="C79" s="359" t="n"/>
      <c r="D79" s="360" t="n"/>
      <c r="E79" s="301" t="n"/>
      <c r="F79" s="301" t="n"/>
      <c r="G79" s="301" t="n"/>
      <c r="H79" s="301" t="n"/>
      <c r="I79" s="301" t="n"/>
      <c r="J79" s="301" t="n"/>
      <c r="K79" s="301" t="n"/>
      <c r="L79" s="301" t="n"/>
    </row>
    <row r="80" ht="15" customHeight="1" s="221">
      <c r="A80" s="301" t="n"/>
      <c r="B80" s="301" t="n"/>
      <c r="C80" s="328" t="n"/>
      <c r="D80" s="301" t="n"/>
      <c r="E80" s="301" t="n"/>
      <c r="F80" s="301" t="n"/>
      <c r="G80" s="301" t="n"/>
      <c r="H80" s="301" t="n"/>
      <c r="I80" s="301" t="n"/>
      <c r="J80" s="301" t="n"/>
      <c r="K80" s="301" t="n"/>
      <c r="L80" s="301" t="n"/>
    </row>
    <row r="81" ht="15.75" customHeight="1" s="221">
      <c r="A81" s="301" t="n"/>
      <c r="B81" s="301" t="n"/>
      <c r="C81" s="328" t="n"/>
      <c r="D81" s="301" t="n"/>
      <c r="E81" s="301" t="n"/>
      <c r="F81" s="301" t="n"/>
      <c r="G81" s="301" t="n"/>
      <c r="H81" s="301" t="n"/>
      <c r="I81" s="301" t="n"/>
      <c r="J81" s="301" t="n"/>
      <c r="K81" s="301" t="n"/>
      <c r="L81" s="301" t="n"/>
    </row>
    <row r="82" ht="15.75" customHeight="1" s="221">
      <c r="A82" s="301" t="n"/>
      <c r="B82" s="301" t="n"/>
      <c r="C82" s="328" t="n"/>
      <c r="D82" s="301" t="n"/>
      <c r="E82" s="301" t="n"/>
      <c r="F82" s="301" t="n"/>
      <c r="G82" s="301" t="n"/>
      <c r="H82" s="301" t="n"/>
      <c r="I82" s="301" t="n"/>
      <c r="J82" s="301" t="n"/>
      <c r="K82" s="301" t="n"/>
      <c r="L82" s="301" t="n"/>
    </row>
    <row r="83" ht="15" customHeight="1" s="221">
      <c r="A83" s="301" t="n"/>
      <c r="B83" s="301" t="n"/>
      <c r="C83" s="301" t="n"/>
      <c r="D83" s="301" t="n"/>
      <c r="E83" s="301" t="n"/>
      <c r="F83" s="301" t="n"/>
      <c r="G83" s="301" t="n"/>
      <c r="H83" s="301" t="n"/>
      <c r="I83" s="301" t="n"/>
      <c r="J83" s="301" t="n"/>
      <c r="K83" s="301" t="n"/>
      <c r="L83" s="301" t="n"/>
    </row>
    <row r="84" ht="15" customHeight="1" s="221">
      <c r="A84" s="301" t="n"/>
      <c r="B84" s="301" t="n"/>
      <c r="C84" s="301" t="n"/>
      <c r="D84" s="301" t="n"/>
      <c r="E84" s="301" t="n"/>
      <c r="F84" s="301" t="n"/>
      <c r="G84" s="301" t="n"/>
      <c r="H84" s="301" t="n"/>
      <c r="I84" s="301" t="n"/>
      <c r="J84" s="301" t="n"/>
      <c r="K84" s="301" t="n"/>
      <c r="L84" s="301" t="n"/>
    </row>
    <row r="85" ht="15" customHeight="1" s="221">
      <c r="A85" s="354" t="n"/>
      <c r="B85" s="354" t="n"/>
      <c r="C85" s="354" t="n"/>
      <c r="D85" s="354" t="n"/>
      <c r="E85" s="301" t="n"/>
      <c r="F85" s="301" t="n"/>
      <c r="G85" s="301" t="n"/>
      <c r="H85" s="301" t="n"/>
      <c r="I85" s="301" t="n"/>
      <c r="J85" s="301" t="n"/>
      <c r="K85" s="301" t="n"/>
      <c r="L85" s="301" t="n"/>
    </row>
    <row r="86" ht="15" customHeight="1" s="221">
      <c r="A86" s="301" t="n"/>
      <c r="B86" s="301" t="n"/>
      <c r="C86" s="301" t="n"/>
      <c r="D86" s="301" t="n"/>
      <c r="E86" s="301" t="n"/>
      <c r="F86" s="301" t="n"/>
      <c r="G86" s="301" t="n"/>
      <c r="H86" s="301" t="n"/>
      <c r="I86" s="301" t="n"/>
      <c r="J86" s="301" t="n"/>
      <c r="K86" s="301" t="n"/>
      <c r="L86" s="301" t="n"/>
    </row>
    <row r="87" ht="15" customHeight="1" s="221">
      <c r="A87" s="354" t="n"/>
      <c r="B87" s="354" t="n"/>
      <c r="C87" s="359" t="n"/>
      <c r="D87" s="360" t="n"/>
      <c r="E87" s="301" t="n"/>
      <c r="F87" s="301" t="n"/>
      <c r="G87" s="301" t="n"/>
      <c r="H87" s="301" t="n"/>
      <c r="I87" s="301" t="n"/>
      <c r="J87" s="301" t="n"/>
      <c r="K87" s="301" t="n"/>
      <c r="L87" s="301" t="n"/>
    </row>
    <row r="88" ht="15" customHeight="1" s="221">
      <c r="A88" s="354" t="n"/>
      <c r="B88" s="354" t="n"/>
      <c r="C88" s="359" t="n"/>
      <c r="D88" s="360" t="n"/>
      <c r="E88" s="301" t="n"/>
      <c r="F88" s="301" t="n"/>
      <c r="G88" s="301" t="n"/>
      <c r="H88" s="301" t="n"/>
      <c r="I88" s="301" t="n"/>
      <c r="J88" s="301" t="n"/>
      <c r="K88" s="301" t="n"/>
      <c r="L88" s="301" t="n"/>
    </row>
    <row r="89" ht="15" customHeight="1" s="221">
      <c r="A89" s="354" t="n"/>
      <c r="B89" s="354" t="n"/>
      <c r="C89" s="359" t="n"/>
      <c r="D89" s="360" t="n"/>
      <c r="E89" s="301" t="n"/>
      <c r="F89" s="301" t="n"/>
      <c r="G89" s="301" t="n"/>
      <c r="H89" s="301" t="n"/>
      <c r="I89" s="301" t="n"/>
      <c r="J89" s="301" t="n"/>
      <c r="K89" s="301" t="n"/>
      <c r="L89" s="301" t="n"/>
    </row>
    <row r="90" ht="15" customHeight="1" s="221">
      <c r="A90" s="354" t="n"/>
      <c r="B90" s="354" t="n"/>
      <c r="C90" s="359" t="n"/>
      <c r="D90" s="360" t="n"/>
      <c r="E90" s="301" t="n"/>
      <c r="F90" s="301" t="n"/>
      <c r="G90" s="301" t="n"/>
      <c r="H90" s="301" t="n"/>
      <c r="I90" s="301" t="n"/>
      <c r="J90" s="301" t="n"/>
      <c r="K90" s="301" t="n"/>
      <c r="L90" s="301" t="n"/>
    </row>
    <row r="91" ht="15" customHeight="1" s="221">
      <c r="A91" s="301" t="n"/>
      <c r="B91" s="301" t="n"/>
      <c r="C91" s="328" t="n"/>
      <c r="D91" s="301" t="n"/>
      <c r="E91" s="301" t="n"/>
      <c r="F91" s="301" t="n"/>
      <c r="G91" s="301" t="n"/>
      <c r="H91" s="301" t="n"/>
      <c r="I91" s="301" t="n"/>
      <c r="J91" s="301" t="n"/>
      <c r="K91" s="301" t="n"/>
      <c r="L91" s="301" t="n"/>
    </row>
    <row r="92" ht="15" customHeight="1" s="221">
      <c r="A92" s="301" t="n"/>
      <c r="B92" s="301" t="n"/>
      <c r="C92" s="301" t="n"/>
      <c r="D92" s="301" t="n"/>
      <c r="E92" s="301" t="n"/>
      <c r="F92" s="301" t="n"/>
      <c r="G92" s="301" t="n"/>
      <c r="H92" s="301" t="n"/>
      <c r="I92" s="301" t="n"/>
      <c r="J92" s="301" t="n"/>
      <c r="K92" s="301" t="n"/>
      <c r="L92" s="301" t="n"/>
    </row>
    <row r="93" ht="15" customHeight="1" s="221">
      <c r="A93" s="354" t="n"/>
      <c r="B93" s="354" t="n"/>
      <c r="C93" s="359" t="n"/>
      <c r="D93" s="360" t="n"/>
      <c r="E93" s="301" t="n"/>
      <c r="F93" s="301" t="n"/>
      <c r="G93" s="301" t="n"/>
      <c r="H93" s="301" t="n"/>
      <c r="I93" s="301" t="n"/>
      <c r="J93" s="301" t="n"/>
      <c r="K93" s="301" t="n"/>
      <c r="L93" s="301" t="n"/>
    </row>
    <row r="94" ht="15" customHeight="1" s="221">
      <c r="A94" s="354" t="n"/>
      <c r="B94" s="354" t="n"/>
      <c r="C94" s="359" t="n"/>
      <c r="D94" s="360" t="n"/>
      <c r="E94" s="301" t="n"/>
      <c r="F94" s="301" t="n"/>
      <c r="G94" s="301" t="n"/>
      <c r="H94" s="301" t="n"/>
      <c r="I94" s="301" t="n"/>
      <c r="J94" s="301" t="n"/>
      <c r="K94" s="301" t="n"/>
      <c r="L94" s="301" t="n"/>
    </row>
    <row r="95" ht="15" customHeight="1" s="221">
      <c r="A95" s="354" t="n"/>
      <c r="B95" s="354" t="n"/>
      <c r="C95" s="359" t="n"/>
      <c r="D95" s="360" t="n"/>
      <c r="E95" s="301" t="n"/>
      <c r="F95" s="301" t="n"/>
      <c r="G95" s="301" t="n"/>
      <c r="H95" s="301" t="n"/>
      <c r="I95" s="301" t="n"/>
      <c r="J95" s="301" t="n"/>
      <c r="K95" s="301" t="n"/>
      <c r="L95" s="301" t="n"/>
    </row>
    <row r="96" ht="15" customHeight="1" s="221">
      <c r="A96" s="354" t="n"/>
      <c r="B96" s="354" t="n"/>
      <c r="C96" s="359" t="n"/>
      <c r="D96" s="360" t="n"/>
      <c r="E96" s="301" t="n"/>
      <c r="F96" s="301" t="n"/>
      <c r="G96" s="301" t="n"/>
      <c r="H96" s="301" t="n"/>
      <c r="I96" s="301" t="n"/>
      <c r="J96" s="301" t="n"/>
      <c r="K96" s="301" t="n"/>
      <c r="L96" s="301" t="n"/>
    </row>
    <row r="97" ht="15" customHeight="1" s="221">
      <c r="A97" s="354" t="n"/>
      <c r="B97" s="354" t="n"/>
      <c r="C97" s="359" t="n"/>
      <c r="D97" s="360" t="n"/>
      <c r="E97" s="301" t="n"/>
      <c r="F97" s="301" t="n"/>
      <c r="G97" s="301" t="n"/>
      <c r="H97" s="301" t="n"/>
      <c r="I97" s="301" t="n"/>
      <c r="J97" s="301" t="n"/>
      <c r="K97" s="301" t="n"/>
      <c r="L97" s="301" t="n"/>
    </row>
    <row r="98" ht="15" customHeight="1" s="221">
      <c r="A98" s="354" t="n"/>
      <c r="B98" s="354" t="n"/>
      <c r="C98" s="359" t="n"/>
      <c r="D98" s="360" t="n"/>
      <c r="E98" s="301" t="n"/>
      <c r="F98" s="301" t="n"/>
      <c r="G98" s="301" t="n"/>
      <c r="H98" s="301" t="n"/>
      <c r="I98" s="301" t="n"/>
      <c r="J98" s="301" t="n"/>
      <c r="K98" s="301" t="n"/>
      <c r="L98" s="301" t="n"/>
    </row>
    <row r="99" ht="15" customHeight="1" s="221">
      <c r="A99" s="301" t="n"/>
      <c r="B99" s="301" t="n"/>
      <c r="C99" s="328" t="n"/>
      <c r="D99" s="301" t="n"/>
      <c r="E99" s="301" t="n"/>
      <c r="F99" s="301" t="n"/>
      <c r="G99" s="301" t="n"/>
      <c r="H99" s="301" t="n"/>
      <c r="I99" s="301" t="n"/>
      <c r="J99" s="301" t="n"/>
      <c r="K99" s="301" t="n"/>
      <c r="L99" s="301" t="n"/>
    </row>
    <row r="100" ht="15" customHeight="1" s="221">
      <c r="A100" s="301" t="n"/>
      <c r="B100" s="301" t="n"/>
      <c r="C100" s="301" t="n"/>
      <c r="D100" s="301" t="n"/>
      <c r="E100" s="301" t="n"/>
      <c r="F100" s="301" t="n"/>
      <c r="G100" s="301" t="n"/>
      <c r="H100" s="301" t="n"/>
      <c r="I100" s="301" t="n"/>
      <c r="J100" s="301" t="n"/>
      <c r="K100" s="301" t="n"/>
      <c r="L100" s="301" t="n"/>
    </row>
    <row r="101" ht="15" customHeight="1" s="221">
      <c r="A101" s="354" t="n"/>
      <c r="B101" s="354" t="n"/>
      <c r="C101" s="359" t="n"/>
      <c r="D101" s="360" t="n"/>
      <c r="E101" s="301" t="n"/>
      <c r="F101" s="301" t="n"/>
      <c r="G101" s="301" t="n"/>
      <c r="H101" s="301" t="n"/>
      <c r="I101" s="301" t="n"/>
      <c r="J101" s="301" t="n"/>
      <c r="K101" s="301" t="n"/>
      <c r="L101" s="301" t="n"/>
    </row>
    <row r="102" ht="15" customHeight="1" s="221">
      <c r="A102" s="354" t="n"/>
      <c r="B102" s="354" t="n"/>
      <c r="C102" s="359" t="n"/>
      <c r="D102" s="360" t="n"/>
      <c r="E102" s="301" t="n"/>
      <c r="F102" s="301" t="n"/>
      <c r="G102" s="301" t="n"/>
      <c r="H102" s="301" t="n"/>
      <c r="I102" s="301" t="n"/>
      <c r="J102" s="301" t="n"/>
      <c r="K102" s="301" t="n"/>
      <c r="L102" s="301" t="n"/>
    </row>
    <row r="103" ht="15" customHeight="1" s="221">
      <c r="A103" s="354" t="n"/>
      <c r="B103" s="354" t="n"/>
      <c r="C103" s="359" t="n"/>
      <c r="D103" s="360" t="n"/>
      <c r="E103" s="301" t="n"/>
      <c r="F103" s="301" t="n"/>
      <c r="G103" s="301" t="n"/>
      <c r="H103" s="301" t="n"/>
      <c r="I103" s="301" t="n"/>
      <c r="J103" s="301" t="n"/>
      <c r="K103" s="301" t="n"/>
      <c r="L103" s="301" t="n"/>
    </row>
    <row r="104" ht="15" customHeight="1" s="221">
      <c r="A104" s="354" t="n"/>
      <c r="B104" s="354" t="n"/>
      <c r="C104" s="359" t="n"/>
      <c r="D104" s="360" t="n"/>
      <c r="E104" s="301" t="n"/>
      <c r="F104" s="301" t="n"/>
      <c r="G104" s="301" t="n"/>
      <c r="H104" s="301" t="n"/>
      <c r="I104" s="301" t="n"/>
      <c r="J104" s="301" t="n"/>
      <c r="K104" s="301" t="n"/>
      <c r="L104" s="301" t="n"/>
    </row>
    <row r="105" ht="15" customHeight="1" s="221">
      <c r="A105" s="354" t="n"/>
      <c r="B105" s="354" t="n"/>
      <c r="C105" s="359" t="n"/>
      <c r="D105" s="360" t="n"/>
      <c r="E105" s="301" t="n"/>
      <c r="F105" s="301" t="n"/>
      <c r="G105" s="301" t="n"/>
      <c r="H105" s="301" t="n"/>
      <c r="I105" s="301" t="n"/>
      <c r="J105" s="301" t="n"/>
      <c r="K105" s="301" t="n"/>
      <c r="L105" s="301" t="n"/>
    </row>
    <row r="106" ht="15" customHeight="1" s="221">
      <c r="A106" s="301" t="n"/>
      <c r="B106" s="301" t="n"/>
      <c r="C106" s="328" t="n"/>
      <c r="D106" s="301" t="n"/>
      <c r="E106" s="301" t="n"/>
      <c r="F106" s="301" t="n"/>
      <c r="G106" s="301" t="n"/>
      <c r="H106" s="301" t="n"/>
      <c r="I106" s="301" t="n"/>
      <c r="J106" s="301" t="n"/>
      <c r="K106" s="301" t="n"/>
      <c r="L106" s="301" t="n"/>
    </row>
    <row r="107" ht="15" customHeight="1" s="221">
      <c r="A107" s="301" t="n"/>
      <c r="B107" s="301" t="n"/>
      <c r="C107" s="301" t="n"/>
      <c r="D107" s="301" t="n"/>
      <c r="E107" s="301" t="n"/>
      <c r="F107" s="301" t="n"/>
      <c r="G107" s="301" t="n"/>
      <c r="H107" s="301" t="n"/>
      <c r="I107" s="301" t="n"/>
      <c r="J107" s="301" t="n"/>
      <c r="K107" s="301" t="n"/>
      <c r="L107" s="301" t="n"/>
    </row>
    <row r="108" ht="15" customHeight="1" s="221">
      <c r="A108" s="354" t="n"/>
      <c r="B108" s="354" t="n"/>
      <c r="C108" s="359" t="n"/>
      <c r="D108" s="360" t="n"/>
      <c r="E108" s="301" t="n"/>
      <c r="F108" s="301" t="n"/>
      <c r="G108" s="301" t="n"/>
      <c r="H108" s="301" t="n"/>
      <c r="I108" s="301" t="n"/>
      <c r="J108" s="301" t="n"/>
      <c r="K108" s="301" t="n"/>
      <c r="L108" s="301" t="n"/>
    </row>
    <row r="109" ht="15" customHeight="1" s="221">
      <c r="A109" s="354" t="n"/>
      <c r="B109" s="354" t="n"/>
      <c r="C109" s="359" t="n"/>
      <c r="D109" s="360" t="n"/>
      <c r="E109" s="301" t="n"/>
      <c r="F109" s="301" t="n"/>
      <c r="G109" s="301" t="n"/>
      <c r="H109" s="301" t="n"/>
      <c r="I109" s="301" t="n"/>
      <c r="J109" s="301" t="n"/>
      <c r="K109" s="301" t="n"/>
      <c r="L109" s="301" t="n"/>
    </row>
    <row r="110" ht="15" customHeight="1" s="221">
      <c r="A110" s="301" t="n"/>
      <c r="B110" s="301" t="n"/>
      <c r="C110" s="328" t="n"/>
      <c r="D110" s="301" t="n"/>
      <c r="E110" s="301" t="n"/>
      <c r="F110" s="301" t="n"/>
      <c r="G110" s="301" t="n"/>
      <c r="H110" s="301" t="n"/>
      <c r="I110" s="301" t="n"/>
      <c r="J110" s="301" t="n"/>
      <c r="K110" s="301" t="n"/>
      <c r="L110" s="301" t="n"/>
    </row>
    <row r="111" ht="15" customHeight="1" s="221">
      <c r="A111" s="301" t="n"/>
      <c r="B111" s="301" t="n"/>
      <c r="C111" s="301" t="n"/>
      <c r="D111" s="301" t="n"/>
      <c r="E111" s="301" t="n"/>
      <c r="F111" s="301" t="n"/>
      <c r="G111" s="301" t="n"/>
      <c r="H111" s="301" t="n"/>
      <c r="I111" s="301" t="n"/>
      <c r="J111" s="301" t="n"/>
      <c r="K111" s="301" t="n"/>
      <c r="L111" s="301" t="n"/>
    </row>
    <row r="112" ht="15" customHeight="1" s="221">
      <c r="A112" s="354" t="n"/>
      <c r="B112" s="354" t="n"/>
      <c r="C112" s="359" t="n"/>
      <c r="D112" s="360" t="n"/>
      <c r="E112" s="301" t="n"/>
      <c r="F112" s="301" t="n"/>
      <c r="G112" s="301" t="n"/>
      <c r="H112" s="301" t="n"/>
      <c r="I112" s="301" t="n"/>
      <c r="J112" s="301" t="n"/>
      <c r="K112" s="301" t="n"/>
      <c r="L112" s="301" t="n"/>
    </row>
    <row r="113" ht="15" customHeight="1" s="221">
      <c r="A113" s="354" t="n"/>
      <c r="B113" s="354" t="n"/>
      <c r="C113" s="359" t="n"/>
      <c r="D113" s="360" t="n"/>
      <c r="E113" s="301" t="n"/>
      <c r="F113" s="301" t="n"/>
      <c r="G113" s="301" t="n"/>
      <c r="H113" s="301" t="n"/>
      <c r="I113" s="301" t="n"/>
      <c r="J113" s="301" t="n"/>
      <c r="K113" s="301" t="n"/>
      <c r="L113" s="301" t="n"/>
    </row>
    <row r="114" ht="15" customHeight="1" s="221">
      <c r="A114" s="354" t="n"/>
      <c r="B114" s="354" t="n"/>
      <c r="C114" s="359" t="n"/>
      <c r="D114" s="360" t="n"/>
      <c r="E114" s="301" t="n"/>
      <c r="F114" s="301" t="n"/>
      <c r="G114" s="301" t="n"/>
      <c r="H114" s="301" t="n"/>
      <c r="I114" s="301" t="n"/>
      <c r="J114" s="301" t="n"/>
      <c r="K114" s="301" t="n"/>
      <c r="L114" s="301" t="n"/>
    </row>
    <row r="115" ht="15" customHeight="1" s="221">
      <c r="A115" s="354" t="n"/>
      <c r="B115" s="354" t="n"/>
      <c r="C115" s="359" t="n"/>
      <c r="D115" s="360" t="n"/>
      <c r="E115" s="301" t="n"/>
      <c r="F115" s="301" t="n"/>
      <c r="G115" s="301" t="n"/>
      <c r="H115" s="301" t="n"/>
      <c r="I115" s="301" t="n"/>
      <c r="J115" s="301" t="n"/>
      <c r="K115" s="301" t="n"/>
      <c r="L115" s="301" t="n"/>
    </row>
    <row r="116" ht="15" customHeight="1" s="221">
      <c r="A116" s="354" t="n"/>
      <c r="B116" s="354" t="n"/>
      <c r="C116" s="359" t="n"/>
      <c r="D116" s="360" t="n"/>
      <c r="E116" s="301" t="n"/>
      <c r="F116" s="301" t="n"/>
      <c r="G116" s="301" t="n"/>
      <c r="H116" s="301" t="n"/>
      <c r="I116" s="301" t="n"/>
      <c r="J116" s="301" t="n"/>
      <c r="K116" s="301" t="n"/>
      <c r="L116" s="301" t="n"/>
    </row>
    <row r="117" ht="15" customHeight="1" s="221">
      <c r="A117" s="354" t="n"/>
      <c r="B117" s="354" t="n"/>
      <c r="C117" s="359" t="n"/>
      <c r="D117" s="360" t="n"/>
      <c r="E117" s="301" t="n"/>
      <c r="F117" s="301" t="n"/>
      <c r="G117" s="301" t="n"/>
      <c r="H117" s="301" t="n"/>
      <c r="I117" s="301" t="n"/>
      <c r="J117" s="301" t="n"/>
      <c r="K117" s="301" t="n"/>
      <c r="L117" s="301" t="n"/>
    </row>
    <row r="118" ht="15" customHeight="1" s="221">
      <c r="A118" s="354" t="n"/>
      <c r="B118" s="354" t="n"/>
      <c r="C118" s="359" t="n"/>
      <c r="D118" s="360" t="n"/>
      <c r="E118" s="301" t="n"/>
      <c r="F118" s="301" t="n"/>
      <c r="G118" s="301" t="n"/>
      <c r="H118" s="301" t="n"/>
      <c r="I118" s="301" t="n"/>
      <c r="J118" s="301" t="n"/>
      <c r="K118" s="301" t="n"/>
      <c r="L118" s="301" t="n"/>
    </row>
    <row r="119" ht="15" customHeight="1" s="221">
      <c r="A119" s="354" t="n"/>
      <c r="B119" s="354" t="n"/>
      <c r="C119" s="359" t="n"/>
      <c r="D119" s="360" t="n"/>
      <c r="E119" s="301" t="n"/>
      <c r="F119" s="301" t="n"/>
      <c r="G119" s="301" t="n"/>
      <c r="H119" s="301" t="n"/>
      <c r="I119" s="301" t="n"/>
      <c r="J119" s="301" t="n"/>
      <c r="K119" s="301" t="n"/>
      <c r="L119" s="301" t="n"/>
    </row>
    <row r="120" ht="15" customHeight="1" s="221">
      <c r="A120" s="354" t="n"/>
      <c r="B120" s="354" t="n"/>
      <c r="C120" s="359" t="n"/>
      <c r="D120" s="360" t="n"/>
      <c r="E120" s="301" t="n"/>
      <c r="F120" s="301" t="n"/>
      <c r="G120" s="301" t="n"/>
      <c r="H120" s="301" t="n"/>
      <c r="I120" s="301" t="n"/>
      <c r="J120" s="301" t="n"/>
      <c r="K120" s="301" t="n"/>
      <c r="L120" s="301" t="n"/>
    </row>
    <row r="121" ht="15" customHeight="1" s="221">
      <c r="A121" s="301" t="n"/>
      <c r="B121" s="301" t="n"/>
      <c r="C121" s="328" t="n"/>
      <c r="D121" s="301" t="n"/>
      <c r="E121" s="301" t="n"/>
      <c r="F121" s="301" t="n"/>
      <c r="G121" s="301" t="n"/>
      <c r="H121" s="301" t="n"/>
      <c r="I121" s="301" t="n"/>
      <c r="J121" s="301" t="n"/>
      <c r="K121" s="301" t="n"/>
      <c r="L121" s="301" t="n"/>
    </row>
    <row r="122" ht="15.75" customHeight="1" s="221">
      <c r="A122" s="301" t="n"/>
      <c r="B122" s="301" t="n"/>
      <c r="C122" s="328" t="n"/>
      <c r="D122" s="301" t="n"/>
      <c r="E122" s="301" t="n"/>
      <c r="F122" s="301" t="n"/>
      <c r="G122" s="301" t="n"/>
      <c r="H122" s="301" t="n"/>
      <c r="I122" s="301" t="n"/>
      <c r="J122" s="301" t="n"/>
      <c r="K122" s="301" t="n"/>
      <c r="L122" s="301" t="n"/>
    </row>
    <row r="123" ht="15.75" customHeight="1" s="221">
      <c r="A123" s="301" t="n"/>
      <c r="B123" s="301" t="n"/>
      <c r="C123" s="328" t="n"/>
      <c r="D123" s="301" t="n"/>
      <c r="E123" s="301" t="n"/>
      <c r="F123" s="301" t="n"/>
      <c r="G123" s="301" t="n"/>
      <c r="H123" s="301" t="n"/>
      <c r="I123" s="301" t="n"/>
      <c r="J123" s="301" t="n"/>
      <c r="K123" s="301" t="n"/>
      <c r="L123" s="301" t="n"/>
    </row>
    <row r="124" ht="15" customHeight="1" s="221">
      <c r="A124" s="301" t="n"/>
      <c r="B124" s="301" t="n"/>
      <c r="C124" s="301" t="n"/>
      <c r="D124" s="301" t="n"/>
      <c r="E124" s="301" t="n"/>
      <c r="F124" s="301" t="n"/>
      <c r="G124" s="301" t="n"/>
      <c r="H124" s="301" t="n"/>
      <c r="I124" s="301" t="n"/>
      <c r="J124" s="301" t="n"/>
      <c r="K124" s="301" t="n"/>
      <c r="L124" s="301" t="n"/>
    </row>
    <row r="125" ht="15" customHeight="1" s="221">
      <c r="A125" s="301" t="n"/>
      <c r="B125" s="301" t="n"/>
      <c r="C125" s="301" t="n"/>
      <c r="D125" s="301" t="n"/>
      <c r="E125" s="301" t="n"/>
      <c r="F125" s="301" t="n"/>
      <c r="G125" s="301" t="n"/>
      <c r="H125" s="301" t="n"/>
      <c r="I125" s="301" t="n"/>
      <c r="J125" s="301" t="n"/>
      <c r="K125" s="301" t="n"/>
      <c r="L125" s="301" t="n"/>
    </row>
    <row r="126" ht="15" customHeight="1" s="221">
      <c r="A126" s="301" t="n"/>
      <c r="B126" s="301" t="n"/>
      <c r="C126" s="301" t="n"/>
      <c r="D126" s="301" t="n"/>
      <c r="E126" s="301" t="n"/>
      <c r="F126" s="301" t="n"/>
      <c r="G126" s="301" t="n"/>
      <c r="H126" s="301" t="n"/>
      <c r="I126" s="301" t="n"/>
      <c r="J126" s="301" t="n"/>
      <c r="K126" s="301" t="n"/>
      <c r="L126" s="301" t="n"/>
    </row>
    <row r="127" ht="15" customHeight="1" s="221">
      <c r="A127" s="301" t="n"/>
      <c r="B127" s="301" t="n"/>
      <c r="C127" s="301" t="n"/>
      <c r="D127" s="301" t="n"/>
      <c r="E127" s="301" t="n"/>
      <c r="F127" s="301" t="n"/>
      <c r="G127" s="301" t="n"/>
      <c r="H127" s="301" t="n"/>
      <c r="I127" s="301" t="n"/>
      <c r="J127" s="301" t="n"/>
      <c r="K127" s="301" t="n"/>
      <c r="L127" s="301" t="n"/>
    </row>
    <row r="128" ht="15" customHeight="1" s="221">
      <c r="A128" s="301" t="n"/>
      <c r="B128" s="301" t="n"/>
      <c r="C128" s="301" t="n"/>
      <c r="D128" s="301" t="n"/>
      <c r="E128" s="301" t="n"/>
      <c r="F128" s="301" t="n"/>
      <c r="G128" s="301" t="n"/>
      <c r="H128" s="301" t="n"/>
      <c r="I128" s="301" t="n"/>
      <c r="J128" s="301" t="n"/>
      <c r="K128" s="301" t="n"/>
      <c r="L128" s="301" t="n"/>
    </row>
    <row r="129" ht="15" customHeight="1" s="221">
      <c r="A129" s="301" t="n"/>
      <c r="B129" s="301" t="n"/>
      <c r="C129" s="301" t="n"/>
      <c r="D129" s="301" t="n"/>
      <c r="E129" s="301" t="n"/>
      <c r="F129" s="301" t="n"/>
      <c r="G129" s="301" t="n"/>
      <c r="H129" s="301" t="n"/>
      <c r="I129" s="301" t="n"/>
      <c r="J129" s="301" t="n"/>
      <c r="K129" s="301" t="n"/>
      <c r="L129" s="301" t="n"/>
    </row>
    <row r="130" ht="15" customHeight="1" s="221">
      <c r="A130" s="301" t="n"/>
      <c r="B130" s="301" t="n"/>
      <c r="C130" s="301" t="n"/>
      <c r="D130" s="301" t="n"/>
      <c r="E130" s="301" t="n"/>
      <c r="F130" s="301" t="n"/>
      <c r="G130" s="301" t="n"/>
      <c r="H130" s="301" t="n"/>
      <c r="I130" s="301" t="n"/>
      <c r="J130" s="301" t="n"/>
      <c r="K130" s="301" t="n"/>
      <c r="L130" s="301" t="n"/>
    </row>
    <row r="131" ht="15" customHeight="1" s="221">
      <c r="A131" s="301" t="n"/>
      <c r="B131" s="301" t="n"/>
      <c r="C131" s="301" t="n"/>
      <c r="D131" s="301" t="n"/>
      <c r="E131" s="301" t="n"/>
      <c r="F131" s="301" t="n"/>
      <c r="G131" s="301" t="n"/>
      <c r="H131" s="301" t="n"/>
      <c r="I131" s="301" t="n"/>
      <c r="J131" s="301" t="n"/>
      <c r="K131" s="301" t="n"/>
      <c r="L131" s="301" t="n"/>
    </row>
    <row r="132" ht="15" customHeight="1" s="221">
      <c r="A132" s="301" t="n"/>
      <c r="B132" s="301" t="n"/>
      <c r="C132" s="301" t="n"/>
      <c r="D132" s="301" t="n"/>
      <c r="E132" s="301" t="n"/>
      <c r="F132" s="301" t="n"/>
      <c r="G132" s="301" t="n"/>
      <c r="H132" s="301" t="n"/>
      <c r="I132" s="301" t="n"/>
      <c r="J132" s="301" t="n"/>
      <c r="K132" s="301" t="n"/>
      <c r="L132" s="301" t="n"/>
    </row>
    <row r="133" ht="15" customHeight="1" s="221">
      <c r="A133" s="301" t="n"/>
      <c r="B133" s="301" t="n"/>
      <c r="C133" s="301" t="n"/>
      <c r="D133" s="301" t="n"/>
      <c r="E133" s="301" t="n"/>
      <c r="F133" s="301" t="n"/>
      <c r="G133" s="301" t="n"/>
      <c r="H133" s="301" t="n"/>
      <c r="I133" s="301" t="n"/>
      <c r="J133" s="301" t="n"/>
      <c r="K133" s="301" t="n"/>
      <c r="L133" s="301" t="n"/>
    </row>
    <row r="134" ht="15" customHeight="1" s="221">
      <c r="A134" s="301" t="n"/>
      <c r="B134" s="301" t="n"/>
      <c r="C134" s="301" t="n"/>
      <c r="D134" s="301" t="n"/>
      <c r="E134" s="301" t="n"/>
      <c r="F134" s="301" t="n"/>
      <c r="G134" s="301" t="n"/>
      <c r="H134" s="301" t="n"/>
      <c r="I134" s="301" t="n"/>
      <c r="J134" s="301" t="n"/>
      <c r="K134" s="301" t="n"/>
      <c r="L134" s="301" t="n"/>
    </row>
    <row r="135" ht="15" customHeight="1" s="221">
      <c r="A135" s="301" t="n"/>
      <c r="B135" s="301" t="n"/>
      <c r="C135" s="301" t="n"/>
      <c r="D135" s="301" t="n"/>
      <c r="E135" s="301" t="n"/>
      <c r="F135" s="301" t="n"/>
      <c r="G135" s="301" t="n"/>
      <c r="H135" s="301" t="n"/>
      <c r="I135" s="301" t="n"/>
      <c r="J135" s="301" t="n"/>
      <c r="K135" s="301" t="n"/>
      <c r="L135" s="301" t="n"/>
    </row>
    <row r="136" ht="15" customHeight="1" s="221">
      <c r="A136" s="301" t="n"/>
      <c r="B136" s="301" t="n"/>
      <c r="C136" s="301" t="n"/>
      <c r="D136" s="301" t="n"/>
      <c r="E136" s="301" t="n"/>
      <c r="F136" s="301" t="n"/>
      <c r="G136" s="301" t="n"/>
      <c r="H136" s="301" t="n"/>
      <c r="I136" s="301" t="n"/>
      <c r="J136" s="301" t="n"/>
      <c r="K136" s="301" t="n"/>
      <c r="L136" s="301" t="n"/>
    </row>
    <row r="137" ht="15" customHeight="1" s="221">
      <c r="A137" s="301" t="n"/>
      <c r="B137" s="301" t="n"/>
      <c r="C137" s="301" t="n"/>
      <c r="D137" s="301" t="n"/>
      <c r="E137" s="301" t="n"/>
      <c r="F137" s="301" t="n"/>
      <c r="G137" s="301" t="n"/>
      <c r="H137" s="301" t="n"/>
      <c r="I137" s="301" t="n"/>
      <c r="J137" s="301" t="n"/>
      <c r="K137" s="301" t="n"/>
      <c r="L137" s="301" t="n"/>
    </row>
    <row r="138" ht="15" customHeight="1" s="221">
      <c r="A138" s="301" t="n"/>
      <c r="B138" s="301" t="n"/>
      <c r="C138" s="301" t="n"/>
      <c r="D138" s="301" t="n"/>
      <c r="E138" s="301" t="n"/>
      <c r="F138" s="301" t="n"/>
      <c r="G138" s="301" t="n"/>
      <c r="H138" s="301" t="n"/>
      <c r="I138" s="301" t="n"/>
      <c r="J138" s="301" t="n"/>
      <c r="K138" s="301" t="n"/>
      <c r="L138" s="301" t="n"/>
    </row>
    <row r="139" ht="15" customHeight="1" s="221">
      <c r="A139" s="301" t="n"/>
      <c r="B139" s="301" t="n"/>
      <c r="C139" s="301" t="n"/>
      <c r="D139" s="301" t="n"/>
      <c r="E139" s="301" t="n"/>
      <c r="F139" s="301" t="n"/>
      <c r="G139" s="301" t="n"/>
      <c r="H139" s="301" t="n"/>
      <c r="I139" s="301" t="n"/>
      <c r="J139" s="301" t="n"/>
      <c r="K139" s="301" t="n"/>
      <c r="L139" s="301" t="n"/>
    </row>
    <row r="140" ht="15" customHeight="1" s="221">
      <c r="A140" s="301" t="n"/>
      <c r="B140" s="301" t="n"/>
      <c r="C140" s="301" t="n"/>
      <c r="D140" s="301" t="n"/>
      <c r="E140" s="301" t="n"/>
      <c r="F140" s="301" t="n"/>
      <c r="G140" s="301" t="n"/>
      <c r="H140" s="301" t="n"/>
      <c r="I140" s="301" t="n"/>
      <c r="J140" s="301" t="n"/>
      <c r="K140" s="301" t="n"/>
      <c r="L140" s="301" t="n"/>
    </row>
    <row r="141" ht="15" customHeight="1" s="221">
      <c r="A141" s="301" t="n"/>
      <c r="B141" s="301" t="n"/>
      <c r="C141" s="301" t="n"/>
      <c r="D141" s="301" t="n"/>
      <c r="E141" s="301" t="n"/>
      <c r="F141" s="301" t="n"/>
      <c r="G141" s="301" t="n"/>
      <c r="H141" s="301" t="n"/>
      <c r="I141" s="301" t="n"/>
      <c r="J141" s="301" t="n"/>
      <c r="K141" s="301" t="n"/>
      <c r="L141" s="301" t="n"/>
    </row>
    <row r="142" ht="15" customHeight="1" s="221">
      <c r="A142" s="301" t="n"/>
      <c r="B142" s="301" t="n"/>
      <c r="C142" s="301" t="n"/>
      <c r="D142" s="301" t="n"/>
      <c r="E142" s="301" t="n"/>
      <c r="F142" s="301" t="n"/>
      <c r="G142" s="301" t="n"/>
      <c r="H142" s="301" t="n"/>
      <c r="I142" s="301" t="n"/>
      <c r="J142" s="301" t="n"/>
      <c r="K142" s="301" t="n"/>
      <c r="L142" s="301" t="n"/>
    </row>
    <row r="143" ht="15" customHeight="1" s="221">
      <c r="A143" s="301" t="n"/>
      <c r="B143" s="301" t="n"/>
      <c r="C143" s="301" t="n"/>
      <c r="D143" s="301" t="n"/>
      <c r="E143" s="301" t="n"/>
      <c r="F143" s="301" t="n"/>
      <c r="G143" s="301" t="n"/>
      <c r="H143" s="301" t="n"/>
      <c r="I143" s="301" t="n"/>
      <c r="J143" s="301" t="n"/>
      <c r="K143" s="301" t="n"/>
      <c r="L143" s="301" t="n"/>
    </row>
    <row r="144" ht="15" customHeight="1" s="221">
      <c r="A144" s="301" t="n"/>
      <c r="B144" s="301" t="n"/>
      <c r="C144" s="301" t="n"/>
      <c r="D144" s="301" t="n"/>
      <c r="E144" s="301" t="n"/>
      <c r="F144" s="301" t="n"/>
      <c r="G144" s="301" t="n"/>
      <c r="H144" s="301" t="n"/>
      <c r="I144" s="301" t="n"/>
      <c r="J144" s="301" t="n"/>
      <c r="K144" s="301" t="n"/>
      <c r="L144" s="301" t="n"/>
    </row>
    <row r="145" ht="15" customHeight="1" s="221">
      <c r="A145" s="301" t="n"/>
      <c r="B145" s="301" t="n"/>
      <c r="C145" s="301" t="n"/>
      <c r="D145" s="301" t="n"/>
      <c r="E145" s="301" t="n"/>
      <c r="F145" s="301" t="n"/>
      <c r="G145" s="301" t="n"/>
      <c r="H145" s="301" t="n"/>
      <c r="I145" s="301" t="n"/>
      <c r="J145" s="301" t="n"/>
      <c r="K145" s="301" t="n"/>
      <c r="L145" s="301" t="n"/>
    </row>
    <row r="146" ht="15" customHeight="1" s="221">
      <c r="A146" s="301" t="n"/>
      <c r="B146" s="301" t="n"/>
      <c r="C146" s="301" t="n"/>
      <c r="D146" s="301" t="n"/>
      <c r="E146" s="301" t="n"/>
      <c r="F146" s="301" t="n"/>
      <c r="G146" s="301" t="n"/>
      <c r="H146" s="301" t="n"/>
      <c r="I146" s="301" t="n"/>
      <c r="J146" s="301" t="n"/>
      <c r="K146" s="301" t="n"/>
      <c r="L146" s="301" t="n"/>
    </row>
    <row r="147" ht="15" customHeight="1" s="221">
      <c r="A147" s="301" t="n"/>
      <c r="B147" s="301" t="n"/>
      <c r="C147" s="301" t="n"/>
      <c r="D147" s="301" t="n"/>
      <c r="E147" s="301" t="n"/>
      <c r="F147" s="301" t="n"/>
      <c r="G147" s="301" t="n"/>
      <c r="H147" s="301" t="n"/>
      <c r="I147" s="301" t="n"/>
      <c r="J147" s="301" t="n"/>
      <c r="K147" s="301" t="n"/>
      <c r="L147" s="301" t="n"/>
    </row>
    <row r="148" ht="15" customHeight="1" s="221">
      <c r="A148" s="301" t="n"/>
      <c r="B148" s="301" t="n"/>
      <c r="C148" s="301" t="n"/>
      <c r="D148" s="301" t="n"/>
      <c r="E148" s="301" t="n"/>
      <c r="F148" s="301" t="n"/>
      <c r="G148" s="301" t="n"/>
      <c r="H148" s="301" t="n"/>
      <c r="I148" s="301" t="n"/>
      <c r="J148" s="301" t="n"/>
      <c r="K148" s="301" t="n"/>
      <c r="L148" s="301" t="n"/>
    </row>
    <row r="149" ht="15" customHeight="1" s="221">
      <c r="A149" s="301" t="n"/>
      <c r="B149" s="301" t="n"/>
      <c r="C149" s="301" t="n"/>
      <c r="D149" s="301" t="n"/>
      <c r="E149" s="301" t="n"/>
      <c r="F149" s="301" t="n"/>
      <c r="G149" s="301" t="n"/>
      <c r="H149" s="301" t="n"/>
      <c r="I149" s="301" t="n"/>
      <c r="J149" s="301" t="n"/>
      <c r="K149" s="301" t="n"/>
      <c r="L149" s="301" t="n"/>
    </row>
    <row r="150" ht="15" customHeight="1" s="221">
      <c r="A150" s="301" t="n"/>
      <c r="B150" s="301" t="n"/>
      <c r="C150" s="301" t="n"/>
      <c r="D150" s="301" t="n"/>
      <c r="E150" s="301" t="n"/>
      <c r="F150" s="301" t="n"/>
      <c r="G150" s="301" t="n"/>
      <c r="H150" s="301" t="n"/>
      <c r="I150" s="301" t="n"/>
      <c r="J150" s="301" t="n"/>
      <c r="K150" s="301" t="n"/>
      <c r="L150" s="301" t="n"/>
    </row>
  </sheetData>
  <mergeCells count="35">
    <mergeCell ref="G10:I10"/>
    <mergeCell ref="A8:D8"/>
    <mergeCell ref="A73:B73"/>
    <mergeCell ref="A62:D62"/>
    <mergeCell ref="G47:J47"/>
    <mergeCell ref="G54:J54"/>
    <mergeCell ref="A28:D28"/>
    <mergeCell ref="A26:C26"/>
    <mergeCell ref="G40:J40"/>
    <mergeCell ref="J77:K77"/>
    <mergeCell ref="A30:D30"/>
    <mergeCell ref="A51:D51"/>
    <mergeCell ref="A20:C20"/>
    <mergeCell ref="A3:B3"/>
    <mergeCell ref="G3:H3"/>
    <mergeCell ref="G67:J67"/>
    <mergeCell ref="A1:J1"/>
    <mergeCell ref="G8:J8"/>
    <mergeCell ref="G9:I9"/>
    <mergeCell ref="G65:H65"/>
    <mergeCell ref="D4:E4"/>
    <mergeCell ref="A41:D41"/>
    <mergeCell ref="G12:I12"/>
    <mergeCell ref="A17:B17"/>
    <mergeCell ref="D3:E3"/>
    <mergeCell ref="G64:H64"/>
    <mergeCell ref="G28:J28"/>
    <mergeCell ref="A4:B4"/>
    <mergeCell ref="G4:H4"/>
    <mergeCell ref="A72:B72"/>
    <mergeCell ref="A6:C6"/>
    <mergeCell ref="G34:J34"/>
    <mergeCell ref="G30:J30"/>
    <mergeCell ref="A9:B9"/>
    <mergeCell ref="G45:J45"/>
  </mergeCells>
  <conditionalFormatting sqref="B33:B200">
    <cfRule type="expression" rank="0" priority="2" equalAverage="0" aboveAverage="0" dxfId="0" text="" percent="0" bottom="0">
      <formula>$B33="Pagado"</formula>
    </cfRule>
    <cfRule type="expression" rank="0" priority="3" equalAverage="0" aboveAverage="0" dxfId="1" text="" percent="0" bottom="0">
      <formula>$B33="Pendiente"</formula>
    </cfRule>
    <cfRule type="expression" rank="0" priority="4" equalAverage="0" aboveAverage="0" dxfId="2" text="" percent="0" bottom="0">
      <formula>$B33="Cancelado"</formula>
    </cfRule>
  </conditionalFormatting>
  <dataValidations count="2">
    <dataValidation sqref="B33:B200" showDropDown="0" showInputMessage="0" showErrorMessage="0" allowBlank="1" type="list" errorStyle="stop" operator="between">
      <formula1>"Ninguno,Pendiente,Pagado,Cancelado"</formula1>
      <formula2>0</formula2>
    </dataValidation>
    <dataValidation sqref="H31:H62" showDropDown="0" showInputMessage="0" showErrorMessage="0" allowBlank="1" errorTitle="Estado inválido" error="Selecciona un estado válido" type="list">
      <formula1>"Ninguno,Pendiente,Pagado,Cancelado"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tabColor rgb="FFD35400"/>
    <outlinePr summaryBelow="1" summaryRight="1"/>
    <pageSetUpPr fitToPage="0"/>
  </sheetPr>
  <dimension ref="A1:J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2" customWidth="1" style="220" min="1" max="2"/>
    <col width="18" customWidth="1" style="220" min="3" max="3"/>
    <col width="28" customWidth="1" style="220" min="4" max="4"/>
    <col width="14" customWidth="1" style="220" min="5" max="6"/>
    <col width="18" customWidth="1" style="220" min="7" max="8"/>
  </cols>
  <sheetData>
    <row r="1" ht="18" customHeight="1" s="221">
      <c r="A1" s="310" t="inlineStr">
        <is>
          <t>📋 REGISTRO DE MOVIMIENTOS - SEPTIEMBRE 2026</t>
        </is>
      </c>
      <c r="I1" s="301" t="n"/>
      <c r="J1" s="301" t="n"/>
    </row>
    <row r="2" ht="15" customHeight="1" s="221">
      <c r="A2" s="301" t="n"/>
      <c r="B2" s="301" t="n"/>
      <c r="C2" s="301" t="n"/>
      <c r="D2" s="301" t="n"/>
      <c r="E2" s="301" t="n"/>
      <c r="F2" s="301" t="n"/>
      <c r="G2" s="301" t="n"/>
      <c r="H2" s="301" t="n"/>
      <c r="I2" s="301" t="n"/>
      <c r="J2" s="301" t="n"/>
    </row>
    <row r="3" ht="15" customHeight="1" s="221">
      <c r="A3" s="311" t="inlineStr">
        <is>
          <t>Fecha</t>
        </is>
      </c>
      <c r="B3" s="312" t="inlineStr">
        <is>
          <t>Tipo</t>
        </is>
      </c>
      <c r="C3" s="312" t="inlineStr">
        <is>
          <t>Categoría</t>
        </is>
      </c>
      <c r="D3" s="311" t="inlineStr">
        <is>
          <t>Descripción</t>
        </is>
      </c>
      <c r="E3" s="311" t="inlineStr">
        <is>
          <t>Ingreso</t>
        </is>
      </c>
      <c r="F3" s="311" t="inlineStr">
        <is>
          <t>Egreso</t>
        </is>
      </c>
      <c r="G3" s="311" t="inlineStr">
        <is>
          <t>Cuenta</t>
        </is>
      </c>
      <c r="H3" s="311" t="inlineStr">
        <is>
          <t>Notas</t>
        </is>
      </c>
      <c r="I3" s="301" t="n"/>
      <c r="J3" s="301" t="n"/>
    </row>
    <row r="4" ht="15" customHeight="1" s="221">
      <c r="A4" s="313" t="n"/>
      <c r="B4" s="314" t="n"/>
      <c r="C4" s="315" t="n"/>
      <c r="D4" s="316" t="n"/>
      <c r="E4" s="317" t="n"/>
      <c r="F4" s="317" t="n"/>
      <c r="G4" s="318" t="n"/>
      <c r="H4" s="316" t="n"/>
      <c r="I4" s="301" t="n"/>
      <c r="J4" s="301" t="n"/>
    </row>
    <row r="5" ht="15" customHeight="1" s="221">
      <c r="A5" s="319" t="n"/>
      <c r="B5" s="320" t="n"/>
      <c r="C5" s="321" t="n"/>
      <c r="D5" s="322" t="n"/>
      <c r="E5" s="323" t="n"/>
      <c r="F5" s="323" t="n"/>
      <c r="G5" s="324" t="n"/>
      <c r="H5" s="322" t="n"/>
      <c r="I5" s="301" t="n"/>
      <c r="J5" s="301" t="n"/>
    </row>
    <row r="6" ht="15" customHeight="1" s="221">
      <c r="A6" s="313" t="n"/>
      <c r="B6" s="314" t="n"/>
      <c r="C6" s="315" t="n"/>
      <c r="D6" s="316" t="n"/>
      <c r="E6" s="317" t="n"/>
      <c r="F6" s="317" t="n"/>
      <c r="G6" s="318" t="n"/>
      <c r="H6" s="316" t="n"/>
      <c r="I6" s="301" t="n"/>
      <c r="J6" s="301" t="n"/>
    </row>
    <row r="7" ht="15" customHeight="1" s="221">
      <c r="A7" s="319" t="n"/>
      <c r="B7" s="320" t="n"/>
      <c r="C7" s="321" t="n"/>
      <c r="D7" s="322" t="n"/>
      <c r="E7" s="323" t="n"/>
      <c r="F7" s="323" t="n"/>
      <c r="G7" s="324" t="n"/>
      <c r="H7" s="322" t="n"/>
      <c r="I7" s="301" t="n"/>
      <c r="J7" s="301" t="n"/>
    </row>
    <row r="8" ht="15" customHeight="1" s="221">
      <c r="A8" s="313" t="n"/>
      <c r="B8" s="314" t="n"/>
      <c r="C8" s="315" t="n"/>
      <c r="D8" s="316" t="n"/>
      <c r="E8" s="317" t="n"/>
      <c r="F8" s="317" t="n"/>
      <c r="G8" s="318" t="n"/>
      <c r="H8" s="316" t="n"/>
      <c r="I8" s="301" t="n"/>
      <c r="J8" s="301" t="n"/>
    </row>
    <row r="9" ht="15" customHeight="1" s="221">
      <c r="A9" s="319" t="n"/>
      <c r="B9" s="320" t="n"/>
      <c r="C9" s="321" t="n"/>
      <c r="D9" s="322" t="n"/>
      <c r="E9" s="323" t="n"/>
      <c r="F9" s="323" t="n"/>
      <c r="G9" s="324" t="n"/>
      <c r="H9" s="322" t="n"/>
      <c r="I9" s="301" t="n"/>
      <c r="J9" s="301" t="n"/>
    </row>
    <row r="10" ht="15" customHeight="1" s="221">
      <c r="A10" s="313" t="n"/>
      <c r="B10" s="314" t="n"/>
      <c r="C10" s="315" t="n"/>
      <c r="D10" s="316" t="n"/>
      <c r="E10" s="317" t="n"/>
      <c r="F10" s="317" t="n"/>
      <c r="G10" s="318" t="n"/>
      <c r="H10" s="316" t="n"/>
      <c r="I10" s="301" t="n"/>
      <c r="J10" s="301" t="n"/>
    </row>
    <row r="11" ht="15" customHeight="1" s="221">
      <c r="A11" s="319" t="n"/>
      <c r="B11" s="320" t="n"/>
      <c r="C11" s="321" t="n"/>
      <c r="D11" s="322" t="n"/>
      <c r="E11" s="323" t="n"/>
      <c r="F11" s="323" t="n"/>
      <c r="G11" s="324" t="n"/>
      <c r="H11" s="322" t="n"/>
      <c r="I11" s="301" t="n"/>
      <c r="J11" s="301" t="n"/>
    </row>
    <row r="12" ht="15" customHeight="1" s="221">
      <c r="A12" s="313" t="n"/>
      <c r="B12" s="314" t="n"/>
      <c r="C12" s="315" t="n"/>
      <c r="D12" s="316" t="n"/>
      <c r="E12" s="317" t="n"/>
      <c r="F12" s="317" t="n"/>
      <c r="G12" s="318" t="n"/>
      <c r="H12" s="316" t="n"/>
      <c r="I12" s="301" t="n"/>
      <c r="J12" s="301" t="n"/>
    </row>
    <row r="13" ht="15" customHeight="1" s="221">
      <c r="A13" s="319" t="n"/>
      <c r="B13" s="320" t="n"/>
      <c r="C13" s="321" t="n"/>
      <c r="D13" s="322" t="n"/>
      <c r="E13" s="323" t="n"/>
      <c r="F13" s="323" t="n"/>
      <c r="G13" s="324" t="n"/>
      <c r="H13" s="322" t="n"/>
      <c r="I13" s="301" t="n"/>
      <c r="J13" s="301" t="n"/>
    </row>
    <row r="14" ht="15" customHeight="1" s="221">
      <c r="A14" s="313" t="n"/>
      <c r="B14" s="314" t="n"/>
      <c r="C14" s="315" t="n"/>
      <c r="D14" s="316" t="n"/>
      <c r="E14" s="317" t="n"/>
      <c r="F14" s="317" t="n"/>
      <c r="G14" s="318" t="n"/>
      <c r="H14" s="316" t="n"/>
      <c r="I14" s="301" t="n"/>
      <c r="J14" s="301" t="n"/>
    </row>
    <row r="15" ht="15" customHeight="1" s="221">
      <c r="A15" s="319" t="n"/>
      <c r="B15" s="320" t="n"/>
      <c r="C15" s="321" t="n"/>
      <c r="D15" s="322" t="n"/>
      <c r="E15" s="323" t="n"/>
      <c r="F15" s="323" t="n"/>
      <c r="G15" s="324" t="n"/>
      <c r="H15" s="322" t="n"/>
      <c r="I15" s="301" t="n"/>
      <c r="J15" s="301" t="n"/>
    </row>
    <row r="16" ht="15" customHeight="1" s="221">
      <c r="A16" s="313" t="n"/>
      <c r="B16" s="314" t="n"/>
      <c r="C16" s="315" t="n"/>
      <c r="D16" s="316" t="n"/>
      <c r="E16" s="317" t="n"/>
      <c r="F16" s="317" t="n"/>
      <c r="G16" s="318" t="n"/>
      <c r="H16" s="316" t="n"/>
      <c r="I16" s="301" t="n"/>
      <c r="J16" s="301" t="n"/>
    </row>
    <row r="17" ht="15" customHeight="1" s="221">
      <c r="A17" s="319" t="n"/>
      <c r="B17" s="320" t="n"/>
      <c r="C17" s="321" t="n"/>
      <c r="D17" s="322" t="n"/>
      <c r="E17" s="323" t="n"/>
      <c r="F17" s="323" t="n"/>
      <c r="G17" s="324" t="n"/>
      <c r="H17" s="322" t="n"/>
      <c r="I17" s="301" t="n"/>
      <c r="J17" s="301" t="n"/>
    </row>
    <row r="18" ht="15" customHeight="1" s="221">
      <c r="A18" s="313" t="n"/>
      <c r="B18" s="314" t="n"/>
      <c r="C18" s="315" t="n"/>
      <c r="D18" s="316" t="n"/>
      <c r="E18" s="317" t="n"/>
      <c r="F18" s="317" t="n"/>
      <c r="G18" s="318" t="n"/>
      <c r="H18" s="316" t="n"/>
      <c r="I18" s="301" t="n"/>
      <c r="J18" s="301" t="n"/>
    </row>
    <row r="19" ht="15" customHeight="1" s="221">
      <c r="A19" s="319" t="n"/>
      <c r="B19" s="320" t="n"/>
      <c r="C19" s="321" t="n"/>
      <c r="D19" s="322" t="n"/>
      <c r="E19" s="323" t="n"/>
      <c r="F19" s="323" t="n"/>
      <c r="G19" s="324" t="n"/>
      <c r="H19" s="322" t="n"/>
      <c r="I19" s="301" t="n"/>
      <c r="J19" s="301" t="n"/>
    </row>
    <row r="20" ht="15" customHeight="1" s="221">
      <c r="A20" s="313" t="n"/>
      <c r="B20" s="314" t="n"/>
      <c r="C20" s="315" t="n"/>
      <c r="D20" s="316" t="n"/>
      <c r="E20" s="317" t="n"/>
      <c r="F20" s="317" t="n"/>
      <c r="G20" s="318" t="n"/>
      <c r="H20" s="316" t="n"/>
      <c r="I20" s="301" t="n"/>
      <c r="J20" s="301" t="n"/>
    </row>
    <row r="21" ht="15" customHeight="1" s="221">
      <c r="A21" s="319" t="n"/>
      <c r="B21" s="320" t="n"/>
      <c r="C21" s="321" t="n"/>
      <c r="D21" s="322" t="n"/>
      <c r="E21" s="323" t="n"/>
      <c r="F21" s="323" t="n"/>
      <c r="G21" s="324" t="n"/>
      <c r="H21" s="322" t="n"/>
      <c r="I21" s="301" t="n"/>
      <c r="J21" s="301" t="n"/>
    </row>
    <row r="22" ht="15" customHeight="1" s="221">
      <c r="A22" s="313" t="n"/>
      <c r="B22" s="314" t="n"/>
      <c r="C22" s="315" t="n"/>
      <c r="D22" s="316" t="n"/>
      <c r="E22" s="317" t="n"/>
      <c r="F22" s="317" t="n"/>
      <c r="G22" s="318" t="n"/>
      <c r="H22" s="316" t="n"/>
      <c r="I22" s="301" t="n"/>
      <c r="J22" s="301" t="n"/>
    </row>
    <row r="23" ht="15" customHeight="1" s="221">
      <c r="A23" s="319" t="n"/>
      <c r="B23" s="320" t="n"/>
      <c r="C23" s="321" t="n"/>
      <c r="D23" s="322" t="n"/>
      <c r="E23" s="323" t="n"/>
      <c r="F23" s="323" t="n"/>
      <c r="G23" s="324" t="n"/>
      <c r="H23" s="322" t="n"/>
      <c r="I23" s="301" t="n"/>
      <c r="J23" s="301" t="n"/>
    </row>
    <row r="24" ht="15" customHeight="1" s="221">
      <c r="A24" s="313" t="n"/>
      <c r="B24" s="318" t="n"/>
      <c r="C24" s="315" t="n"/>
      <c r="D24" s="316" t="n"/>
      <c r="E24" s="317" t="n"/>
      <c r="F24" s="317" t="n"/>
      <c r="G24" s="318" t="n"/>
      <c r="H24" s="316" t="n"/>
      <c r="I24" s="301" t="n"/>
      <c r="J24" s="301" t="n"/>
    </row>
    <row r="25" ht="15" customHeight="1" s="221">
      <c r="A25" s="319" t="n"/>
      <c r="B25" s="324" t="n"/>
      <c r="C25" s="321" t="n"/>
      <c r="D25" s="322" t="n"/>
      <c r="E25" s="323" t="n"/>
      <c r="F25" s="323" t="n"/>
      <c r="G25" s="324" t="n"/>
      <c r="H25" s="322" t="n"/>
      <c r="I25" s="301" t="n"/>
      <c r="J25" s="301" t="n"/>
    </row>
    <row r="26" ht="15" customHeight="1" s="221">
      <c r="A26" s="313" t="n"/>
      <c r="B26" s="318" t="n"/>
      <c r="C26" s="315" t="n"/>
      <c r="D26" s="316" t="n"/>
      <c r="E26" s="317" t="n"/>
      <c r="F26" s="317" t="n"/>
      <c r="G26" s="318" t="n"/>
      <c r="H26" s="316" t="n"/>
      <c r="I26" s="301" t="n"/>
      <c r="J26" s="301" t="n"/>
    </row>
    <row r="27" ht="15" customHeight="1" s="221">
      <c r="A27" s="319" t="n"/>
      <c r="B27" s="324" t="n"/>
      <c r="C27" s="321" t="n"/>
      <c r="D27" s="322" t="n"/>
      <c r="E27" s="323" t="n"/>
      <c r="F27" s="323" t="n"/>
      <c r="G27" s="324" t="n"/>
      <c r="H27" s="322" t="n"/>
      <c r="I27" s="301" t="n"/>
      <c r="J27" s="301" t="n"/>
    </row>
    <row r="28" ht="15" customHeight="1" s="221">
      <c r="A28" s="313" t="n"/>
      <c r="B28" s="318" t="n"/>
      <c r="C28" s="315" t="n"/>
      <c r="D28" s="316" t="n"/>
      <c r="E28" s="317" t="n"/>
      <c r="F28" s="317" t="n"/>
      <c r="G28" s="318" t="n"/>
      <c r="H28" s="316" t="n"/>
      <c r="I28" s="301" t="n"/>
      <c r="J28" s="301" t="n"/>
    </row>
    <row r="29" ht="15" customHeight="1" s="221">
      <c r="A29" s="319" t="n"/>
      <c r="B29" s="324" t="n"/>
      <c r="C29" s="321" t="n"/>
      <c r="D29" s="322" t="n"/>
      <c r="E29" s="323" t="n"/>
      <c r="F29" s="323" t="n"/>
      <c r="G29" s="324" t="n"/>
      <c r="H29" s="322" t="n"/>
      <c r="I29" s="301" t="n"/>
      <c r="J29" s="301" t="n"/>
    </row>
    <row r="30" ht="15" customHeight="1" s="221">
      <c r="A30" s="313" t="n"/>
      <c r="B30" s="318" t="n"/>
      <c r="C30" s="315" t="n"/>
      <c r="D30" s="316" t="n"/>
      <c r="E30" s="317" t="n"/>
      <c r="F30" s="317" t="n"/>
      <c r="G30" s="318" t="n"/>
      <c r="H30" s="316" t="n"/>
      <c r="I30" s="301" t="n"/>
      <c r="J30" s="301" t="n"/>
    </row>
    <row r="31" ht="15" customHeight="1" s="221">
      <c r="A31" s="319" t="n"/>
      <c r="B31" s="324" t="n"/>
      <c r="C31" s="321" t="n"/>
      <c r="D31" s="322" t="n"/>
      <c r="E31" s="323" t="n"/>
      <c r="F31" s="323" t="n"/>
      <c r="G31" s="324" t="n"/>
      <c r="H31" s="322" t="n"/>
      <c r="I31" s="301" t="n"/>
      <c r="J31" s="301" t="n"/>
    </row>
    <row r="32" ht="15" customHeight="1" s="221">
      <c r="A32" s="313" t="n"/>
      <c r="B32" s="318" t="n"/>
      <c r="C32" s="315" t="n"/>
      <c r="D32" s="316" t="n"/>
      <c r="E32" s="317" t="n"/>
      <c r="F32" s="317" t="n"/>
      <c r="G32" s="318" t="n"/>
      <c r="H32" s="316" t="n"/>
      <c r="I32" s="301" t="n"/>
      <c r="J32" s="301" t="n"/>
    </row>
    <row r="33" ht="15" customHeight="1" s="221">
      <c r="A33" s="319" t="n"/>
      <c r="B33" s="324" t="n"/>
      <c r="C33" s="321" t="n"/>
      <c r="D33" s="322" t="n"/>
      <c r="E33" s="323" t="n"/>
      <c r="F33" s="323" t="n"/>
      <c r="G33" s="324" t="n"/>
      <c r="H33" s="322" t="n"/>
      <c r="I33" s="301" t="n"/>
      <c r="J33" s="301" t="n"/>
    </row>
    <row r="34" ht="15" customHeight="1" s="221">
      <c r="A34" s="313" t="n"/>
      <c r="B34" s="318" t="n"/>
      <c r="C34" s="315" t="n"/>
      <c r="D34" s="316" t="n"/>
      <c r="E34" s="317" t="n"/>
      <c r="F34" s="317" t="n"/>
      <c r="G34" s="318" t="n"/>
      <c r="H34" s="316" t="n"/>
      <c r="I34" s="301" t="n"/>
      <c r="J34" s="301" t="n"/>
    </row>
    <row r="35" ht="15" customHeight="1" s="221">
      <c r="A35" s="319" t="n"/>
      <c r="B35" s="324" t="n"/>
      <c r="C35" s="322" t="n"/>
      <c r="D35" s="322" t="n"/>
      <c r="E35" s="323" t="n"/>
      <c r="F35" s="323" t="n"/>
      <c r="G35" s="324" t="n"/>
      <c r="H35" s="322" t="n"/>
      <c r="I35" s="301" t="n"/>
      <c r="J35" s="301" t="n"/>
    </row>
    <row r="36" ht="15" customHeight="1" s="221">
      <c r="A36" s="313" t="n"/>
      <c r="B36" s="318" t="n"/>
      <c r="C36" s="316" t="n"/>
      <c r="D36" s="316" t="n"/>
      <c r="E36" s="317" t="n"/>
      <c r="F36" s="317" t="n"/>
      <c r="G36" s="318" t="n"/>
      <c r="H36" s="316" t="n"/>
      <c r="I36" s="301" t="n"/>
      <c r="J36" s="301" t="n"/>
    </row>
    <row r="37" ht="15" customHeight="1" s="221">
      <c r="A37" s="319" t="n"/>
      <c r="B37" s="324" t="n"/>
      <c r="C37" s="322" t="n"/>
      <c r="D37" s="322" t="n"/>
      <c r="E37" s="323" t="n"/>
      <c r="F37" s="323" t="n"/>
      <c r="G37" s="324" t="n"/>
      <c r="H37" s="322" t="n"/>
      <c r="I37" s="301" t="n"/>
      <c r="J37" s="301" t="n"/>
    </row>
    <row r="38" ht="15" customHeight="1" s="221">
      <c r="A38" s="313" t="n"/>
      <c r="B38" s="318" t="n"/>
      <c r="C38" s="316" t="n"/>
      <c r="D38" s="316" t="n"/>
      <c r="E38" s="317" t="n"/>
      <c r="F38" s="317" t="n"/>
      <c r="G38" s="318" t="n"/>
      <c r="H38" s="316" t="n"/>
      <c r="I38" s="301" t="n"/>
      <c r="J38" s="301" t="n"/>
    </row>
    <row r="39" ht="15" customHeight="1" s="221">
      <c r="A39" s="319" t="n"/>
      <c r="B39" s="324" t="n"/>
      <c r="C39" s="322" t="n"/>
      <c r="D39" s="322" t="n"/>
      <c r="E39" s="323" t="n"/>
      <c r="F39" s="323" t="n"/>
      <c r="G39" s="324" t="n"/>
      <c r="H39" s="322" t="n"/>
      <c r="I39" s="301" t="n"/>
      <c r="J39" s="301" t="n"/>
    </row>
    <row r="40" ht="15" customHeight="1" s="221">
      <c r="A40" s="313" t="n"/>
      <c r="B40" s="318" t="n"/>
      <c r="C40" s="316" t="n"/>
      <c r="D40" s="316" t="n"/>
      <c r="E40" s="317" t="n"/>
      <c r="F40" s="317" t="n"/>
      <c r="G40" s="318" t="n"/>
      <c r="H40" s="316" t="n"/>
      <c r="I40" s="301" t="n"/>
      <c r="J40" s="301" t="n"/>
    </row>
    <row r="41" ht="15" customHeight="1" s="221">
      <c r="A41" s="319" t="n"/>
      <c r="B41" s="324" t="n"/>
      <c r="C41" s="322" t="n"/>
      <c r="D41" s="322" t="n"/>
      <c r="E41" s="323" t="n"/>
      <c r="F41" s="323" t="n"/>
      <c r="G41" s="324" t="n"/>
      <c r="H41" s="322" t="n"/>
      <c r="I41" s="301" t="n"/>
      <c r="J41" s="301" t="n"/>
    </row>
    <row r="42" ht="15" customHeight="1" s="221">
      <c r="A42" s="313" t="n"/>
      <c r="B42" s="318" t="n"/>
      <c r="C42" s="316" t="n"/>
      <c r="D42" s="316" t="n"/>
      <c r="E42" s="317" t="n"/>
      <c r="F42" s="317" t="n"/>
      <c r="G42" s="318" t="n"/>
      <c r="H42" s="316" t="n"/>
      <c r="I42" s="301" t="n"/>
      <c r="J42" s="301" t="n"/>
    </row>
    <row r="43" ht="15" customHeight="1" s="221">
      <c r="A43" s="319" t="n"/>
      <c r="B43" s="324" t="n"/>
      <c r="C43" s="322" t="n"/>
      <c r="D43" s="322" t="n"/>
      <c r="E43" s="323" t="n"/>
      <c r="F43" s="323" t="n"/>
      <c r="G43" s="324" t="n"/>
      <c r="H43" s="322" t="n"/>
      <c r="I43" s="301" t="n"/>
      <c r="J43" s="301" t="n"/>
    </row>
    <row r="44" ht="15" customHeight="1" s="221">
      <c r="A44" s="313" t="n"/>
      <c r="B44" s="318" t="n"/>
      <c r="C44" s="316" t="n"/>
      <c r="D44" s="316" t="n"/>
      <c r="E44" s="317" t="n"/>
      <c r="F44" s="317" t="n"/>
      <c r="G44" s="318" t="n"/>
      <c r="H44" s="316" t="n"/>
      <c r="I44" s="301" t="n"/>
      <c r="J44" s="301" t="n"/>
    </row>
    <row r="45" ht="15" customHeight="1" s="221">
      <c r="A45" s="319" t="n"/>
      <c r="B45" s="324" t="n"/>
      <c r="C45" s="322" t="n"/>
      <c r="D45" s="322" t="n"/>
      <c r="E45" s="323" t="n"/>
      <c r="F45" s="323" t="n"/>
      <c r="G45" s="324" t="n"/>
      <c r="H45" s="322" t="n"/>
      <c r="I45" s="301" t="n"/>
      <c r="J45" s="301" t="n"/>
    </row>
    <row r="46" ht="15" customHeight="1" s="221">
      <c r="A46" s="313" t="n"/>
      <c r="B46" s="318" t="n"/>
      <c r="C46" s="316" t="n"/>
      <c r="D46" s="316" t="n"/>
      <c r="E46" s="317" t="n"/>
      <c r="F46" s="317" t="n"/>
      <c r="G46" s="318" t="n"/>
      <c r="H46" s="316" t="n"/>
      <c r="I46" s="301" t="n"/>
      <c r="J46" s="301" t="n"/>
    </row>
    <row r="47" ht="15" customHeight="1" s="221">
      <c r="A47" s="319" t="n"/>
      <c r="B47" s="324" t="n"/>
      <c r="C47" s="322" t="n"/>
      <c r="D47" s="322" t="n"/>
      <c r="E47" s="323" t="n"/>
      <c r="F47" s="323" t="n"/>
      <c r="G47" s="324" t="n"/>
      <c r="H47" s="322" t="n"/>
      <c r="I47" s="301" t="n"/>
      <c r="J47" s="301" t="n"/>
    </row>
    <row r="48" ht="15" customHeight="1" s="221">
      <c r="A48" s="313" t="n"/>
      <c r="B48" s="318" t="n"/>
      <c r="C48" s="316" t="n"/>
      <c r="D48" s="316" t="n"/>
      <c r="E48" s="317" t="n"/>
      <c r="F48" s="317" t="n"/>
      <c r="G48" s="318" t="n"/>
      <c r="H48" s="316" t="n"/>
      <c r="I48" s="301" t="n"/>
      <c r="J48" s="301" t="n"/>
    </row>
    <row r="49" ht="15" customHeight="1" s="221">
      <c r="A49" s="319" t="n"/>
      <c r="B49" s="324" t="n"/>
      <c r="C49" s="322" t="n"/>
      <c r="D49" s="322" t="n"/>
      <c r="E49" s="323" t="n"/>
      <c r="F49" s="323" t="n"/>
      <c r="G49" s="324" t="n"/>
      <c r="H49" s="322" t="n"/>
      <c r="I49" s="301" t="n"/>
      <c r="J49" s="301" t="n"/>
    </row>
    <row r="50" ht="15" customHeight="1" s="221">
      <c r="A50" s="313" t="n"/>
      <c r="B50" s="318" t="n"/>
      <c r="C50" s="316" t="n"/>
      <c r="D50" s="316" t="n"/>
      <c r="E50" s="317" t="n"/>
      <c r="F50" s="317" t="n"/>
      <c r="G50" s="318" t="n"/>
      <c r="H50" s="316" t="n"/>
      <c r="I50" s="301" t="n"/>
      <c r="J50" s="301" t="n"/>
    </row>
    <row r="51" ht="15" customHeight="1" s="221">
      <c r="A51" s="319" t="n"/>
      <c r="B51" s="324" t="n"/>
      <c r="C51" s="322" t="n"/>
      <c r="D51" s="322" t="n"/>
      <c r="E51" s="323" t="n"/>
      <c r="F51" s="323" t="n"/>
      <c r="G51" s="324" t="n"/>
      <c r="H51" s="322" t="n"/>
      <c r="I51" s="301" t="n"/>
      <c r="J51" s="301" t="n"/>
    </row>
    <row r="52" ht="15" customHeight="1" s="221">
      <c r="A52" s="313" t="n"/>
      <c r="B52" s="318" t="n"/>
      <c r="C52" s="316" t="n"/>
      <c r="D52" s="316" t="n"/>
      <c r="E52" s="317" t="n"/>
      <c r="F52" s="317" t="n"/>
      <c r="G52" s="318" t="n"/>
      <c r="H52" s="316" t="n"/>
      <c r="I52" s="301" t="n"/>
      <c r="J52" s="301" t="n"/>
    </row>
    <row r="53" ht="15" customHeight="1" s="221">
      <c r="A53" s="319" t="n"/>
      <c r="B53" s="324" t="n"/>
      <c r="C53" s="322" t="n"/>
      <c r="D53" s="322" t="n"/>
      <c r="E53" s="323" t="n"/>
      <c r="F53" s="323" t="n"/>
      <c r="G53" s="324" t="n"/>
      <c r="H53" s="322" t="n"/>
      <c r="I53" s="301" t="n"/>
      <c r="J53" s="301" t="n"/>
    </row>
    <row r="54" ht="15" customHeight="1" s="221">
      <c r="A54" s="313" t="n"/>
      <c r="B54" s="318" t="n"/>
      <c r="C54" s="316" t="n"/>
      <c r="D54" s="316" t="n"/>
      <c r="E54" s="317" t="n"/>
      <c r="F54" s="317" t="n"/>
      <c r="G54" s="318" t="n"/>
      <c r="H54" s="316" t="n"/>
      <c r="I54" s="301" t="n"/>
      <c r="J54" s="301" t="n"/>
    </row>
    <row r="55" ht="15" customHeight="1" s="221">
      <c r="A55" s="319" t="n"/>
      <c r="B55" s="324" t="n"/>
      <c r="C55" s="322" t="n"/>
      <c r="D55" s="322" t="n"/>
      <c r="E55" s="323" t="n"/>
      <c r="F55" s="323" t="n"/>
      <c r="G55" s="324" t="n"/>
      <c r="H55" s="322" t="n"/>
      <c r="I55" s="301" t="n"/>
      <c r="J55" s="301" t="n"/>
    </row>
    <row r="56" ht="15" customHeight="1" s="221">
      <c r="A56" s="313" t="n"/>
      <c r="B56" s="318" t="n"/>
      <c r="C56" s="316" t="n"/>
      <c r="D56" s="316" t="n"/>
      <c r="E56" s="317" t="n"/>
      <c r="F56" s="317" t="n"/>
      <c r="G56" s="318" t="n"/>
      <c r="H56" s="316" t="n"/>
      <c r="I56" s="301" t="n"/>
      <c r="J56" s="301" t="n"/>
    </row>
    <row r="57" ht="15" customHeight="1" s="221">
      <c r="A57" s="319" t="n"/>
      <c r="B57" s="324" t="n"/>
      <c r="C57" s="322" t="n"/>
      <c r="D57" s="322" t="n"/>
      <c r="E57" s="323" t="n"/>
      <c r="F57" s="323" t="n"/>
      <c r="G57" s="324" t="n"/>
      <c r="H57" s="322" t="n"/>
      <c r="I57" s="301" t="n"/>
      <c r="J57" s="301" t="n"/>
    </row>
    <row r="58" ht="15" customHeight="1" s="221">
      <c r="A58" s="313" t="n"/>
      <c r="B58" s="318" t="n"/>
      <c r="C58" s="316" t="n"/>
      <c r="D58" s="316" t="n"/>
      <c r="E58" s="317" t="n"/>
      <c r="F58" s="317" t="n"/>
      <c r="G58" s="318" t="n"/>
      <c r="H58" s="316" t="n"/>
      <c r="I58" s="301" t="n"/>
      <c r="J58" s="301" t="n"/>
    </row>
    <row r="59" ht="15" customHeight="1" s="221">
      <c r="A59" s="319" t="n"/>
      <c r="B59" s="324" t="n"/>
      <c r="C59" s="322" t="n"/>
      <c r="D59" s="322" t="n"/>
      <c r="E59" s="323" t="n"/>
      <c r="F59" s="323" t="n"/>
      <c r="G59" s="324" t="n"/>
      <c r="H59" s="322" t="n"/>
      <c r="I59" s="301" t="n"/>
      <c r="J59" s="301" t="n"/>
    </row>
    <row r="60" ht="15" customHeight="1" s="221">
      <c r="A60" s="313" t="n"/>
      <c r="B60" s="318" t="n"/>
      <c r="C60" s="316" t="n"/>
      <c r="D60" s="316" t="n"/>
      <c r="E60" s="317" t="n"/>
      <c r="F60" s="317" t="n"/>
      <c r="G60" s="318" t="n"/>
      <c r="H60" s="316" t="n"/>
      <c r="I60" s="301" t="n"/>
      <c r="J60" s="301" t="n"/>
    </row>
    <row r="61" ht="15" customHeight="1" s="221">
      <c r="A61" s="319" t="n"/>
      <c r="B61" s="324" t="n"/>
      <c r="C61" s="322" t="n"/>
      <c r="D61" s="322" t="n"/>
      <c r="E61" s="323" t="n"/>
      <c r="F61" s="323" t="n"/>
      <c r="G61" s="324" t="n"/>
      <c r="H61" s="322" t="n"/>
      <c r="I61" s="301" t="n"/>
      <c r="J61" s="301" t="n"/>
    </row>
    <row r="62" ht="15" customHeight="1" s="221">
      <c r="A62" s="313" t="n"/>
      <c r="B62" s="318" t="n"/>
      <c r="C62" s="316" t="n"/>
      <c r="D62" s="316" t="n"/>
      <c r="E62" s="317" t="n"/>
      <c r="F62" s="317" t="n"/>
      <c r="G62" s="318" t="n"/>
      <c r="H62" s="316" t="n"/>
      <c r="I62" s="301" t="n"/>
      <c r="J62" s="301" t="n"/>
    </row>
    <row r="63" ht="15" customHeight="1" s="221">
      <c r="A63" s="319" t="n"/>
      <c r="B63" s="324" t="n"/>
      <c r="C63" s="322" t="n"/>
      <c r="D63" s="322" t="n"/>
      <c r="E63" s="323" t="n"/>
      <c r="F63" s="323" t="n"/>
      <c r="G63" s="324" t="n"/>
      <c r="H63" s="322" t="n"/>
      <c r="I63" s="301" t="n"/>
      <c r="J63" s="301" t="n"/>
    </row>
    <row r="64" ht="15" customHeight="1" s="221">
      <c r="A64" s="313" t="n"/>
      <c r="B64" s="318" t="n"/>
      <c r="C64" s="316" t="n"/>
      <c r="D64" s="316" t="n"/>
      <c r="E64" s="317" t="n"/>
      <c r="F64" s="317" t="n"/>
      <c r="G64" s="318" t="n"/>
      <c r="H64" s="316" t="n"/>
      <c r="I64" s="301" t="n"/>
      <c r="J64" s="301" t="n"/>
    </row>
    <row r="65" ht="15" customHeight="1" s="221">
      <c r="A65" s="319" t="n"/>
      <c r="B65" s="324" t="n"/>
      <c r="C65" s="322" t="n"/>
      <c r="D65" s="322" t="n"/>
      <c r="E65" s="323" t="n"/>
      <c r="F65" s="323" t="n"/>
      <c r="G65" s="324" t="n"/>
      <c r="H65" s="322" t="n"/>
      <c r="I65" s="301" t="n"/>
      <c r="J65" s="301" t="n"/>
    </row>
    <row r="66" ht="15" customHeight="1" s="221">
      <c r="A66" s="313" t="n"/>
      <c r="B66" s="318" t="n"/>
      <c r="C66" s="316" t="n"/>
      <c r="D66" s="316" t="n"/>
      <c r="E66" s="317" t="n"/>
      <c r="F66" s="317" t="n"/>
      <c r="G66" s="318" t="n"/>
      <c r="H66" s="316" t="n"/>
      <c r="I66" s="301" t="n"/>
      <c r="J66" s="301" t="n"/>
    </row>
    <row r="67" ht="15" customHeight="1" s="221">
      <c r="A67" s="319" t="n"/>
      <c r="B67" s="324" t="n"/>
      <c r="C67" s="322" t="n"/>
      <c r="D67" s="322" t="n"/>
      <c r="E67" s="323" t="n"/>
      <c r="F67" s="323" t="n"/>
      <c r="G67" s="324" t="n"/>
      <c r="H67" s="322" t="n"/>
      <c r="I67" s="301" t="n"/>
      <c r="J67" s="301" t="n"/>
    </row>
    <row r="68" ht="15" customHeight="1" s="221">
      <c r="A68" s="313" t="n"/>
      <c r="B68" s="318" t="n"/>
      <c r="C68" s="316" t="n"/>
      <c r="D68" s="316" t="n"/>
      <c r="E68" s="317" t="n"/>
      <c r="F68" s="317" t="n"/>
      <c r="G68" s="318" t="n"/>
      <c r="H68" s="316" t="n"/>
      <c r="I68" s="301" t="n"/>
      <c r="J68" s="301" t="n"/>
    </row>
    <row r="69" ht="15" customHeight="1" s="221">
      <c r="A69" s="319" t="n"/>
      <c r="B69" s="324" t="n"/>
      <c r="C69" s="322" t="n"/>
      <c r="D69" s="322" t="n"/>
      <c r="E69" s="323" t="n"/>
      <c r="F69" s="323" t="n"/>
      <c r="G69" s="324" t="n"/>
      <c r="H69" s="322" t="n"/>
      <c r="I69" s="301" t="n"/>
      <c r="J69" s="301" t="n"/>
    </row>
    <row r="70" ht="15" customHeight="1" s="221">
      <c r="A70" s="313" t="n"/>
      <c r="B70" s="318" t="n"/>
      <c r="C70" s="316" t="n"/>
      <c r="D70" s="316" t="n"/>
      <c r="E70" s="317" t="n"/>
      <c r="F70" s="317" t="n"/>
      <c r="G70" s="318" t="n"/>
      <c r="H70" s="316" t="n"/>
      <c r="I70" s="301" t="n"/>
      <c r="J70" s="301" t="n"/>
    </row>
    <row r="71" ht="15" customHeight="1" s="221">
      <c r="A71" s="319" t="n"/>
      <c r="B71" s="324" t="n"/>
      <c r="C71" s="322" t="n"/>
      <c r="D71" s="322" t="n"/>
      <c r="E71" s="323" t="n"/>
      <c r="F71" s="323" t="n"/>
      <c r="G71" s="324" t="n"/>
      <c r="H71" s="322" t="n"/>
      <c r="I71" s="301" t="n"/>
      <c r="J71" s="301" t="n"/>
    </row>
    <row r="72" ht="15" customHeight="1" s="221">
      <c r="A72" s="313" t="n"/>
      <c r="B72" s="318" t="n"/>
      <c r="C72" s="316" t="n"/>
      <c r="D72" s="316" t="n"/>
      <c r="E72" s="317" t="n"/>
      <c r="F72" s="317" t="n"/>
      <c r="G72" s="318" t="n"/>
      <c r="H72" s="316" t="n"/>
      <c r="I72" s="301" t="n"/>
      <c r="J72" s="301" t="n"/>
    </row>
    <row r="73" ht="15" customHeight="1" s="221">
      <c r="A73" s="319" t="n"/>
      <c r="B73" s="324" t="n"/>
      <c r="C73" s="322" t="n"/>
      <c r="D73" s="322" t="n"/>
      <c r="E73" s="323" t="n"/>
      <c r="F73" s="323" t="n"/>
      <c r="G73" s="324" t="n"/>
      <c r="H73" s="322" t="n"/>
      <c r="I73" s="301" t="n"/>
      <c r="J73" s="301" t="n"/>
    </row>
    <row r="74" ht="15" customHeight="1" s="221">
      <c r="A74" s="313" t="n"/>
      <c r="B74" s="318" t="n"/>
      <c r="C74" s="316" t="n"/>
      <c r="D74" s="316" t="n"/>
      <c r="E74" s="317" t="n"/>
      <c r="F74" s="317" t="n"/>
      <c r="G74" s="318" t="n"/>
      <c r="H74" s="316" t="n"/>
      <c r="I74" s="301" t="n"/>
      <c r="J74" s="301" t="n"/>
    </row>
    <row r="75" ht="15" customHeight="1" s="221">
      <c r="A75" s="319" t="n"/>
      <c r="B75" s="324" t="n"/>
      <c r="C75" s="322" t="n"/>
      <c r="D75" s="322" t="n"/>
      <c r="E75" s="323" t="n"/>
      <c r="F75" s="323" t="n"/>
      <c r="G75" s="324" t="n"/>
      <c r="H75" s="322" t="n"/>
      <c r="I75" s="301" t="n"/>
      <c r="J75" s="301" t="n"/>
    </row>
    <row r="76" ht="15" customHeight="1" s="221">
      <c r="A76" s="313" t="n"/>
      <c r="B76" s="318" t="n"/>
      <c r="C76" s="316" t="n"/>
      <c r="D76" s="316" t="n"/>
      <c r="E76" s="317" t="n"/>
      <c r="F76" s="317" t="n"/>
      <c r="G76" s="318" t="n"/>
      <c r="H76" s="316" t="n"/>
      <c r="I76" s="301" t="n"/>
      <c r="J76" s="301" t="n"/>
    </row>
    <row r="77" ht="15" customHeight="1" s="221">
      <c r="A77" s="319" t="n"/>
      <c r="B77" s="324" t="n"/>
      <c r="C77" s="322" t="n"/>
      <c r="D77" s="322" t="n"/>
      <c r="E77" s="323" t="n"/>
      <c r="F77" s="323" t="n"/>
      <c r="G77" s="324" t="n"/>
      <c r="H77" s="322" t="n"/>
      <c r="I77" s="301" t="n"/>
      <c r="J77" s="301" t="n"/>
    </row>
    <row r="78" ht="15" customHeight="1" s="221">
      <c r="A78" s="313" t="n"/>
      <c r="B78" s="318" t="n"/>
      <c r="C78" s="316" t="n"/>
      <c r="D78" s="316" t="n"/>
      <c r="E78" s="317" t="n"/>
      <c r="F78" s="317" t="n"/>
      <c r="G78" s="318" t="n"/>
      <c r="H78" s="316" t="n"/>
      <c r="I78" s="301" t="n"/>
      <c r="J78" s="301" t="n"/>
    </row>
    <row r="79" ht="15" customHeight="1" s="221">
      <c r="A79" s="319" t="n"/>
      <c r="B79" s="324" t="n"/>
      <c r="C79" s="322" t="n"/>
      <c r="D79" s="322" t="n"/>
      <c r="E79" s="323" t="n"/>
      <c r="F79" s="323" t="n"/>
      <c r="G79" s="324" t="n"/>
      <c r="H79" s="322" t="n"/>
      <c r="I79" s="301" t="n"/>
      <c r="J79" s="301" t="n"/>
    </row>
    <row r="80" ht="15" customHeight="1" s="221">
      <c r="A80" s="313" t="n"/>
      <c r="B80" s="318" t="n"/>
      <c r="C80" s="316" t="n"/>
      <c r="D80" s="316" t="n"/>
      <c r="E80" s="317" t="n"/>
      <c r="F80" s="317" t="n"/>
      <c r="G80" s="318" t="n"/>
      <c r="H80" s="316" t="n"/>
      <c r="I80" s="301" t="n"/>
      <c r="J80" s="301" t="n"/>
    </row>
    <row r="81" ht="15" customHeight="1" s="221">
      <c r="A81" s="319" t="n"/>
      <c r="B81" s="324" t="n"/>
      <c r="C81" s="322" t="n"/>
      <c r="D81" s="322" t="n"/>
      <c r="E81" s="323" t="n"/>
      <c r="F81" s="323" t="n"/>
      <c r="G81" s="324" t="n"/>
      <c r="H81" s="322" t="n"/>
      <c r="I81" s="301" t="n"/>
      <c r="J81" s="301" t="n"/>
    </row>
    <row r="82" ht="15" customHeight="1" s="221">
      <c r="A82" s="313" t="n"/>
      <c r="B82" s="318" t="n"/>
      <c r="C82" s="316" t="n"/>
      <c r="D82" s="316" t="n"/>
      <c r="E82" s="317" t="n"/>
      <c r="F82" s="317" t="n"/>
      <c r="G82" s="318" t="n"/>
      <c r="H82" s="316" t="n"/>
      <c r="I82" s="301" t="n"/>
      <c r="J82" s="301" t="n"/>
    </row>
    <row r="83" ht="15" customHeight="1" s="221">
      <c r="A83" s="319" t="n"/>
      <c r="B83" s="324" t="n"/>
      <c r="C83" s="322" t="n"/>
      <c r="D83" s="322" t="n"/>
      <c r="E83" s="323" t="n"/>
      <c r="F83" s="323" t="n"/>
      <c r="G83" s="324" t="n"/>
      <c r="H83" s="322" t="n"/>
      <c r="I83" s="301" t="n"/>
      <c r="J83" s="301" t="n"/>
    </row>
    <row r="84" ht="15" customHeight="1" s="221">
      <c r="A84" s="313" t="n"/>
      <c r="B84" s="318" t="n"/>
      <c r="C84" s="316" t="n"/>
      <c r="D84" s="316" t="n"/>
      <c r="E84" s="317" t="n"/>
      <c r="F84" s="317" t="n"/>
      <c r="G84" s="318" t="n"/>
      <c r="H84" s="316" t="n"/>
      <c r="I84" s="301" t="n"/>
      <c r="J84" s="301" t="n"/>
    </row>
    <row r="85" ht="15" customHeight="1" s="221">
      <c r="A85" s="319" t="n"/>
      <c r="B85" s="324" t="n"/>
      <c r="C85" s="322" t="n"/>
      <c r="D85" s="322" t="n"/>
      <c r="E85" s="323" t="n"/>
      <c r="F85" s="323" t="n"/>
      <c r="G85" s="324" t="n"/>
      <c r="H85" s="322" t="n"/>
      <c r="I85" s="301" t="n"/>
      <c r="J85" s="301" t="n"/>
    </row>
    <row r="86" ht="15" customHeight="1" s="221">
      <c r="A86" s="313" t="n"/>
      <c r="B86" s="318" t="n"/>
      <c r="C86" s="316" t="n"/>
      <c r="D86" s="316" t="n"/>
      <c r="E86" s="317" t="n"/>
      <c r="F86" s="317" t="n"/>
      <c r="G86" s="318" t="n"/>
      <c r="H86" s="316" t="n"/>
      <c r="I86" s="301" t="n"/>
      <c r="J86" s="301" t="n"/>
    </row>
    <row r="87" ht="15" customHeight="1" s="221">
      <c r="A87" s="319" t="n"/>
      <c r="B87" s="324" t="n"/>
      <c r="C87" s="322" t="n"/>
      <c r="D87" s="322" t="n"/>
      <c r="E87" s="323" t="n"/>
      <c r="F87" s="323" t="n"/>
      <c r="G87" s="324" t="n"/>
      <c r="H87" s="322" t="n"/>
      <c r="I87" s="301" t="n"/>
      <c r="J87" s="301" t="n"/>
    </row>
    <row r="88" ht="15" customHeight="1" s="221">
      <c r="A88" s="313" t="n"/>
      <c r="B88" s="318" t="n"/>
      <c r="C88" s="316" t="n"/>
      <c r="D88" s="316" t="n"/>
      <c r="E88" s="317" t="n"/>
      <c r="F88" s="317" t="n"/>
      <c r="G88" s="318" t="n"/>
      <c r="H88" s="316" t="n"/>
      <c r="I88" s="301" t="n"/>
      <c r="J88" s="301" t="n"/>
    </row>
    <row r="89" ht="15" customHeight="1" s="221">
      <c r="A89" s="319" t="n"/>
      <c r="B89" s="324" t="n"/>
      <c r="C89" s="322" t="n"/>
      <c r="D89" s="322" t="n"/>
      <c r="E89" s="323" t="n"/>
      <c r="F89" s="323" t="n"/>
      <c r="G89" s="324" t="n"/>
      <c r="H89" s="322" t="n"/>
      <c r="I89" s="301" t="n"/>
      <c r="J89" s="301" t="n"/>
    </row>
    <row r="90" ht="15" customHeight="1" s="221">
      <c r="A90" s="313" t="n"/>
      <c r="B90" s="318" t="n"/>
      <c r="C90" s="316" t="n"/>
      <c r="D90" s="316" t="n"/>
      <c r="E90" s="317" t="n"/>
      <c r="F90" s="317" t="n"/>
      <c r="G90" s="318" t="n"/>
      <c r="H90" s="316" t="n"/>
      <c r="I90" s="301" t="n"/>
      <c r="J90" s="301" t="n"/>
    </row>
    <row r="91" ht="15" customHeight="1" s="221">
      <c r="A91" s="319" t="n"/>
      <c r="B91" s="324" t="n"/>
      <c r="C91" s="322" t="n"/>
      <c r="D91" s="322" t="n"/>
      <c r="E91" s="323" t="n"/>
      <c r="F91" s="323" t="n"/>
      <c r="G91" s="324" t="n"/>
      <c r="H91" s="322" t="n"/>
      <c r="I91" s="301" t="n"/>
      <c r="J91" s="301" t="n"/>
    </row>
    <row r="92" ht="15" customHeight="1" s="221">
      <c r="A92" s="313" t="n"/>
      <c r="B92" s="318" t="n"/>
      <c r="C92" s="316" t="n"/>
      <c r="D92" s="316" t="n"/>
      <c r="E92" s="317" t="n"/>
      <c r="F92" s="317" t="n"/>
      <c r="G92" s="318" t="n"/>
      <c r="H92" s="316" t="n"/>
      <c r="I92" s="301" t="n"/>
      <c r="J92" s="301" t="n"/>
    </row>
    <row r="93" ht="15" customHeight="1" s="221">
      <c r="A93" s="319" t="n"/>
      <c r="B93" s="324" t="n"/>
      <c r="C93" s="322" t="n"/>
      <c r="D93" s="322" t="n"/>
      <c r="E93" s="323" t="n"/>
      <c r="F93" s="323" t="n"/>
      <c r="G93" s="324" t="n"/>
      <c r="H93" s="322" t="n"/>
      <c r="I93" s="301" t="n"/>
      <c r="J93" s="301" t="n"/>
    </row>
    <row r="94" ht="15" customHeight="1" s="221">
      <c r="A94" s="313" t="n"/>
      <c r="B94" s="318" t="n"/>
      <c r="C94" s="316" t="n"/>
      <c r="D94" s="316" t="n"/>
      <c r="E94" s="317" t="n"/>
      <c r="F94" s="317" t="n"/>
      <c r="G94" s="318" t="n"/>
      <c r="H94" s="316" t="n"/>
      <c r="I94" s="301" t="n"/>
      <c r="J94" s="301" t="n"/>
    </row>
    <row r="95" ht="15" customHeight="1" s="221">
      <c r="A95" s="319" t="n"/>
      <c r="B95" s="324" t="n"/>
      <c r="C95" s="322" t="n"/>
      <c r="D95" s="322" t="n"/>
      <c r="E95" s="323" t="n"/>
      <c r="F95" s="323" t="n"/>
      <c r="G95" s="324" t="n"/>
      <c r="H95" s="322" t="n"/>
      <c r="I95" s="301" t="n"/>
      <c r="J95" s="301" t="n"/>
    </row>
    <row r="96" ht="15" customHeight="1" s="221">
      <c r="A96" s="313" t="n"/>
      <c r="B96" s="318" t="n"/>
      <c r="C96" s="316" t="n"/>
      <c r="D96" s="316" t="n"/>
      <c r="E96" s="317" t="n"/>
      <c r="F96" s="317" t="n"/>
      <c r="G96" s="318" t="n"/>
      <c r="H96" s="316" t="n"/>
      <c r="I96" s="301" t="n"/>
      <c r="J96" s="301" t="n"/>
    </row>
    <row r="97" ht="15" customHeight="1" s="221">
      <c r="A97" s="319" t="n"/>
      <c r="B97" s="324" t="n"/>
      <c r="C97" s="322" t="n"/>
      <c r="D97" s="322" t="n"/>
      <c r="E97" s="323" t="n"/>
      <c r="F97" s="323" t="n"/>
      <c r="G97" s="324" t="n"/>
      <c r="H97" s="322" t="n"/>
      <c r="I97" s="301" t="n"/>
      <c r="J97" s="301" t="n"/>
    </row>
    <row r="98" ht="15" customHeight="1" s="221">
      <c r="A98" s="313" t="n"/>
      <c r="B98" s="318" t="n"/>
      <c r="C98" s="316" t="n"/>
      <c r="D98" s="316" t="n"/>
      <c r="E98" s="317" t="n"/>
      <c r="F98" s="317" t="n"/>
      <c r="G98" s="318" t="n"/>
      <c r="H98" s="316" t="n"/>
      <c r="I98" s="301" t="n"/>
      <c r="J98" s="301" t="n"/>
    </row>
    <row r="99" ht="15" customHeight="1" s="221">
      <c r="A99" s="319" t="n"/>
      <c r="B99" s="324" t="n"/>
      <c r="C99" s="322" t="n"/>
      <c r="D99" s="322" t="n"/>
      <c r="E99" s="323" t="n"/>
      <c r="F99" s="323" t="n"/>
      <c r="G99" s="324" t="n"/>
      <c r="H99" s="322" t="n"/>
      <c r="I99" s="301" t="n"/>
      <c r="J99" s="301" t="n"/>
    </row>
    <row r="100" ht="15" customHeight="1" s="221">
      <c r="A100" s="313" t="n"/>
      <c r="B100" s="318" t="n"/>
      <c r="C100" s="316" t="n"/>
      <c r="D100" s="316" t="n"/>
      <c r="E100" s="317" t="n"/>
      <c r="F100" s="317" t="n"/>
      <c r="G100" s="318" t="n"/>
      <c r="H100" s="316" t="n"/>
      <c r="I100" s="301" t="n"/>
      <c r="J100" s="301" t="n"/>
    </row>
    <row r="101" ht="15" customHeight="1" s="221">
      <c r="A101" s="319" t="n"/>
      <c r="B101" s="324" t="n"/>
      <c r="C101" s="322" t="n"/>
      <c r="D101" s="322" t="n"/>
      <c r="E101" s="323" t="n"/>
      <c r="F101" s="323" t="n"/>
      <c r="G101" s="324" t="n"/>
      <c r="H101" s="322" t="n"/>
      <c r="I101" s="301" t="n"/>
      <c r="J101" s="301" t="n"/>
    </row>
    <row r="102" ht="15" customHeight="1" s="221">
      <c r="A102" s="313" t="n"/>
      <c r="B102" s="318" t="n"/>
      <c r="C102" s="316" t="n"/>
      <c r="D102" s="316" t="n"/>
      <c r="E102" s="317" t="n"/>
      <c r="F102" s="317" t="n"/>
      <c r="G102" s="318" t="n"/>
      <c r="H102" s="316" t="n"/>
      <c r="I102" s="301" t="n"/>
      <c r="J102" s="301" t="n"/>
    </row>
    <row r="103" ht="15" customHeight="1" s="221">
      <c r="A103" s="319" t="n"/>
      <c r="B103" s="324" t="n"/>
      <c r="C103" s="322" t="n"/>
      <c r="D103" s="322" t="n"/>
      <c r="E103" s="323" t="n"/>
      <c r="F103" s="323" t="n"/>
      <c r="G103" s="324" t="n"/>
      <c r="H103" s="322" t="n"/>
      <c r="I103" s="301" t="n"/>
      <c r="J103" s="301" t="n"/>
    </row>
    <row r="104" ht="15" customHeight="1" s="221">
      <c r="A104" s="325" t="inlineStr">
        <is>
          <t>TOTALES</t>
        </is>
      </c>
      <c r="E104" s="326">
        <f>SUM(E4:E103)</f>
        <v/>
      </c>
      <c r="F104" s="327">
        <f>SUM(F4:F103)</f>
        <v/>
      </c>
      <c r="G104" s="301" t="n"/>
      <c r="H104" s="301" t="n"/>
      <c r="I104" s="301" t="n"/>
      <c r="J104" s="301" t="n"/>
    </row>
    <row r="105" ht="18" customHeight="1" s="221">
      <c r="A105" s="301" t="n"/>
      <c r="B105" s="301" t="n"/>
      <c r="C105" s="301" t="n"/>
      <c r="D105" s="301" t="n"/>
      <c r="E105" s="328" t="n"/>
      <c r="F105" s="301" t="n"/>
      <c r="G105" s="301" t="n"/>
      <c r="H105" s="301" t="n"/>
      <c r="I105" s="301" t="n"/>
      <c r="J105" s="301" t="n"/>
    </row>
    <row r="106" ht="15" customHeight="1" s="221">
      <c r="A106" s="310" t="inlineStr">
        <is>
          <t>📊 RESUMEN DEL MES</t>
        </is>
      </c>
      <c r="D106" s="301" t="n"/>
      <c r="E106" s="328" t="n"/>
      <c r="F106" s="301" t="n"/>
      <c r="G106" s="301" t="n"/>
      <c r="H106" s="301" t="n"/>
      <c r="I106" s="301" t="n"/>
      <c r="J106" s="301" t="n"/>
    </row>
    <row r="107" ht="15" customHeight="1" s="221">
      <c r="A107" s="223" t="inlineStr">
        <is>
          <t>INGRESOS:</t>
        </is>
      </c>
      <c r="B107" s="301" t="n"/>
      <c r="C107" s="328">
        <f>SUMIF(B4:B103,"Ingreso NT",E4:E103)</f>
        <v/>
      </c>
      <c r="D107" s="301" t="n"/>
      <c r="E107" s="328" t="n"/>
      <c r="F107" s="301" t="n"/>
      <c r="G107" s="301" t="n"/>
      <c r="H107" s="301" t="n"/>
      <c r="I107" s="301" t="n"/>
      <c r="J107" s="301" t="n"/>
    </row>
    <row r="108" ht="15" customHeight="1" s="221">
      <c r="A108" s="301" t="inlineStr">
        <is>
          <t xml:space="preserve">  Ingreso NT:</t>
        </is>
      </c>
      <c r="B108" s="301" t="n"/>
      <c r="C108" s="329">
        <f>SUMIF(B4:B103,"Ingreso NT",E4:E103)</f>
        <v/>
      </c>
      <c r="D108" s="301" t="n"/>
      <c r="E108" s="328" t="n"/>
      <c r="F108" s="301" t="n"/>
      <c r="G108" s="301" t="n"/>
      <c r="H108" s="301" t="n"/>
      <c r="I108" s="301" t="n"/>
      <c r="J108" s="301" t="n"/>
    </row>
    <row r="109" ht="15" customHeight="1" s="221">
      <c r="A109" s="301" t="inlineStr">
        <is>
          <t xml:space="preserve">  Ingreso Marco:</t>
        </is>
      </c>
      <c r="B109" s="301" t="n"/>
      <c r="C109" s="330">
        <f>SUMIF(B4:B103,"Ingreso Marco",E4:E103)</f>
        <v/>
      </c>
      <c r="D109" s="301" t="n"/>
      <c r="E109" s="328" t="n"/>
      <c r="F109" s="301" t="n"/>
      <c r="G109" s="301" t="n"/>
      <c r="H109" s="301" t="n"/>
      <c r="I109" s="301" t="n"/>
      <c r="J109" s="301" t="n"/>
    </row>
    <row r="110" ht="15" customHeight="1" s="221">
      <c r="A110" s="301" t="inlineStr">
        <is>
          <t xml:space="preserve">  Ingreso Clara:</t>
        </is>
      </c>
      <c r="B110" s="301" t="n"/>
      <c r="C110" s="331">
        <f>SUMIF(B4:B103,"Ingreso Clara",E4:E103)</f>
        <v/>
      </c>
      <c r="D110" s="301" t="n"/>
      <c r="E110" s="328" t="n"/>
      <c r="F110" s="301" t="n"/>
      <c r="G110" s="301" t="n"/>
      <c r="H110" s="301" t="n"/>
      <c r="I110" s="301" t="n"/>
      <c r="J110" s="301" t="n"/>
    </row>
    <row r="111" ht="15" customHeight="1" s="221">
      <c r="A111" s="301" t="inlineStr">
        <is>
          <t xml:space="preserve">  Devolución Fam → NT:</t>
        </is>
      </c>
      <c r="B111" s="301" t="n"/>
      <c r="C111" s="332">
        <f>SUMIF(B4:B103,"Devolución Familia → NT",E4:E103)</f>
        <v/>
      </c>
      <c r="D111" s="301" t="n"/>
      <c r="E111" s="328" t="n"/>
      <c r="F111" s="301" t="n"/>
      <c r="G111" s="301" t="n"/>
      <c r="H111" s="301" t="n"/>
      <c r="I111" s="301" t="n"/>
      <c r="J111" s="301" t="n"/>
    </row>
    <row r="112" ht="15" customHeight="1" s="221">
      <c r="A112" s="223" t="inlineStr">
        <is>
          <t xml:space="preserve">  TOTAL INGRESOS:</t>
        </is>
      </c>
      <c r="B112" s="301" t="n"/>
      <c r="C112" s="333">
        <f>SUM(C108:C111)</f>
        <v/>
      </c>
      <c r="D112" s="301" t="n"/>
      <c r="E112" s="328" t="n"/>
      <c r="F112" s="301" t="n"/>
      <c r="G112" s="301" t="n"/>
      <c r="H112" s="301" t="n"/>
      <c r="I112" s="301" t="n"/>
      <c r="J112" s="301" t="n"/>
    </row>
    <row r="113" ht="15" customHeight="1" s="221">
      <c r="A113" s="301" t="inlineStr">
        <is>
          <t>EGRESOS:</t>
        </is>
      </c>
      <c r="B113" s="301" t="n"/>
      <c r="C113" s="301" t="n"/>
      <c r="D113" s="301" t="n"/>
      <c r="E113" s="328" t="n"/>
      <c r="F113" s="301" t="n"/>
      <c r="G113" s="301" t="n"/>
      <c r="H113" s="301" t="n"/>
      <c r="I113" s="301" t="n"/>
      <c r="J113" s="301" t="n"/>
    </row>
    <row r="114" ht="15" customHeight="1" s="221">
      <c r="A114" s="223" t="inlineStr">
        <is>
          <t>EGRESOS:</t>
        </is>
      </c>
      <c r="B114" s="301" t="n"/>
      <c r="C114" s="328">
        <f>SUMIF(B4:B103,"Egreso NT",F4:F103)</f>
        <v/>
      </c>
      <c r="D114" s="301" t="n"/>
      <c r="E114" s="328" t="n"/>
      <c r="F114" s="301" t="n"/>
      <c r="G114" s="301" t="n"/>
      <c r="H114" s="301" t="n"/>
      <c r="I114" s="301" t="n"/>
      <c r="J114" s="301" t="n"/>
    </row>
    <row r="115" ht="15" customHeight="1" s="221">
      <c r="A115" s="301" t="inlineStr">
        <is>
          <t xml:space="preserve">  Egreso NT:</t>
        </is>
      </c>
      <c r="B115" s="301" t="n"/>
      <c r="C115" s="334">
        <f>SUMIF(B4:B103,"Egreso NT",F4:F103)</f>
        <v/>
      </c>
      <c r="D115" s="301" t="n"/>
      <c r="E115" s="328" t="n"/>
      <c r="F115" s="301" t="n"/>
      <c r="G115" s="301" t="n"/>
      <c r="H115" s="301" t="n"/>
      <c r="I115" s="301" t="n"/>
      <c r="J115" s="301" t="n"/>
    </row>
    <row r="116" ht="15" customHeight="1" s="221">
      <c r="A116" s="301" t="inlineStr">
        <is>
          <t xml:space="preserve">  Egreso Familiar:</t>
        </is>
      </c>
      <c r="B116" s="301" t="n"/>
      <c r="C116" s="335">
        <f>SUMIF(B4:B103,"Egreso Familiar",F4:F103)</f>
        <v/>
      </c>
      <c r="D116" s="301" t="n"/>
      <c r="E116" s="328" t="n"/>
      <c r="F116" s="301" t="n"/>
      <c r="G116" s="301" t="n"/>
      <c r="H116" s="301" t="n"/>
      <c r="I116" s="301" t="n"/>
      <c r="J116" s="301" t="n"/>
    </row>
    <row r="117" ht="15" customHeight="1" s="221">
      <c r="A117" s="301" t="inlineStr">
        <is>
          <t xml:space="preserve">  Préstamo NT → Fam:</t>
        </is>
      </c>
      <c r="B117" s="301" t="n"/>
      <c r="C117" s="336">
        <f>SUMIF(B4:B103,"Préstamo NT → Familia",F4:F103)</f>
        <v/>
      </c>
      <c r="D117" s="301" t="n"/>
      <c r="E117" s="328" t="n"/>
      <c r="F117" s="301" t="n"/>
      <c r="G117" s="301" t="n"/>
      <c r="H117" s="301" t="n"/>
      <c r="I117" s="301" t="n"/>
      <c r="J117" s="301" t="n"/>
    </row>
    <row r="118" ht="15" customHeight="1" s="221">
      <c r="A118" s="223" t="inlineStr">
        <is>
          <t xml:space="preserve">  TOTAL EGRESOS:</t>
        </is>
      </c>
      <c r="B118" s="301" t="n"/>
      <c r="C118" s="337">
        <f>SUM(C115:C117)</f>
        <v/>
      </c>
      <c r="D118" s="301" t="n"/>
      <c r="E118" s="328" t="n"/>
      <c r="F118" s="301" t="n"/>
      <c r="G118" s="301" t="n"/>
      <c r="H118" s="301" t="n"/>
      <c r="I118" s="301" t="n"/>
      <c r="J118" s="301" t="n"/>
    </row>
    <row r="119" ht="15" customHeight="1" s="221">
      <c r="A119" s="301" t="n"/>
      <c r="B119" s="301" t="n"/>
      <c r="C119" s="301" t="n"/>
      <c r="D119" s="301" t="n"/>
      <c r="E119" s="328" t="n"/>
      <c r="F119" s="301" t="n"/>
      <c r="G119" s="301" t="n"/>
      <c r="H119" s="301" t="n"/>
      <c r="I119" s="301" t="n"/>
      <c r="J119" s="301" t="n"/>
    </row>
    <row r="120" ht="15" customHeight="1" s="221">
      <c r="A120" s="223" t="inlineStr">
        <is>
          <t>SALDO PRÉSTAMO NT → FAM:</t>
        </is>
      </c>
      <c r="B120" s="301" t="n"/>
      <c r="C120" s="338">
        <f>C117-C111</f>
        <v/>
      </c>
      <c r="D120" s="301" t="n"/>
      <c r="E120" s="328" t="n"/>
      <c r="F120" s="301" t="n"/>
      <c r="G120" s="301" t="n"/>
      <c r="H120" s="301" t="n"/>
      <c r="I120" s="301" t="n"/>
      <c r="J120" s="301" t="n"/>
    </row>
    <row r="121" ht="15" customHeight="1" s="221">
      <c r="A121" s="339" t="inlineStr">
        <is>
          <t>(Prestado - Devuelto)</t>
        </is>
      </c>
      <c r="B121" s="301" t="n"/>
      <c r="C121" s="301" t="n"/>
      <c r="D121" s="301" t="n"/>
      <c r="E121" s="328" t="n"/>
      <c r="F121" s="301" t="n"/>
      <c r="G121" s="301" t="n"/>
      <c r="H121" s="301" t="n"/>
      <c r="I121" s="301" t="n"/>
      <c r="J121" s="301" t="n"/>
    </row>
    <row r="122" ht="15" customHeight="1" s="221">
      <c r="A122" s="301" t="n"/>
      <c r="B122" s="301" t="n"/>
      <c r="C122" s="301" t="n"/>
      <c r="D122" s="301" t="n"/>
      <c r="E122" s="328" t="n"/>
      <c r="F122" s="301" t="n"/>
      <c r="G122" s="301" t="n"/>
      <c r="H122" s="301" t="n"/>
      <c r="I122" s="301" t="n"/>
      <c r="J122" s="301" t="n"/>
    </row>
    <row r="123" ht="15" customHeight="1" s="221">
      <c r="A123" s="301" t="n"/>
      <c r="B123" s="301" t="n"/>
      <c r="C123" s="301" t="n"/>
      <c r="D123" s="301" t="n"/>
      <c r="E123" s="328" t="n"/>
      <c r="F123" s="301" t="n"/>
      <c r="G123" s="301" t="n"/>
      <c r="H123" s="301" t="n"/>
      <c r="I123" s="301" t="n"/>
      <c r="J123" s="301" t="n"/>
    </row>
    <row r="124" ht="15" customHeight="1" s="221">
      <c r="A124" s="301" t="n"/>
      <c r="B124" s="301" t="n"/>
      <c r="C124" s="301" t="n"/>
      <c r="D124" s="301" t="n"/>
      <c r="E124" s="328" t="n"/>
      <c r="F124" s="301" t="n"/>
      <c r="G124" s="301" t="n"/>
      <c r="H124" s="301" t="n"/>
      <c r="I124" s="301" t="n"/>
      <c r="J124" s="301" t="n"/>
    </row>
    <row r="125" ht="15" customHeight="1" s="221">
      <c r="A125" s="301" t="n"/>
      <c r="B125" s="301" t="n"/>
      <c r="C125" s="301" t="n"/>
      <c r="D125" s="301" t="n"/>
      <c r="E125" s="328" t="n"/>
      <c r="F125" s="301" t="n"/>
      <c r="G125" s="301" t="n"/>
      <c r="H125" s="301" t="n"/>
      <c r="I125" s="301" t="n"/>
      <c r="J125" s="301" t="n"/>
    </row>
    <row r="126" ht="15" customHeight="1" s="221">
      <c r="A126" s="301" t="n"/>
      <c r="B126" s="301" t="n"/>
      <c r="C126" s="301" t="n"/>
      <c r="D126" s="301" t="n"/>
      <c r="E126" s="328" t="n"/>
      <c r="F126" s="301" t="n"/>
      <c r="G126" s="301" t="n"/>
      <c r="H126" s="301" t="n"/>
      <c r="I126" s="301" t="n"/>
      <c r="J126" s="301" t="n"/>
    </row>
    <row r="127" ht="15" customHeight="1" s="221">
      <c r="A127" s="301" t="n"/>
      <c r="B127" s="301" t="n"/>
      <c r="C127" s="301" t="n"/>
      <c r="D127" s="301" t="n"/>
      <c r="E127" s="328" t="n"/>
      <c r="F127" s="301" t="n"/>
      <c r="G127" s="301" t="n"/>
      <c r="H127" s="301" t="n"/>
      <c r="I127" s="301" t="n"/>
      <c r="J127" s="301" t="n"/>
    </row>
    <row r="128" ht="15" customHeight="1" s="221">
      <c r="A128" s="301" t="n"/>
      <c r="B128" s="301" t="n"/>
      <c r="C128" s="301" t="n"/>
      <c r="D128" s="301" t="n"/>
      <c r="E128" s="328" t="n"/>
      <c r="F128" s="301" t="n"/>
      <c r="G128" s="301" t="n"/>
      <c r="H128" s="301" t="n"/>
      <c r="I128" s="301" t="n"/>
      <c r="J128" s="301" t="n"/>
    </row>
    <row r="129" ht="15" customHeight="1" s="221">
      <c r="A129" s="301" t="n"/>
      <c r="B129" s="301" t="n"/>
      <c r="C129" s="301" t="n"/>
      <c r="D129" s="301" t="n"/>
      <c r="E129" s="328" t="n"/>
      <c r="F129" s="301" t="n"/>
      <c r="G129" s="301" t="n"/>
      <c r="H129" s="301" t="n"/>
      <c r="I129" s="301" t="n"/>
      <c r="J129" s="301" t="n"/>
    </row>
    <row r="130" ht="15" customHeight="1" s="221">
      <c r="A130" s="301" t="n"/>
      <c r="B130" s="301" t="n"/>
      <c r="C130" s="301" t="n"/>
      <c r="D130" s="301" t="n"/>
      <c r="E130" s="328" t="n"/>
      <c r="F130" s="301" t="n"/>
      <c r="G130" s="301" t="n"/>
      <c r="H130" s="301" t="n"/>
      <c r="I130" s="301" t="n"/>
      <c r="J130" s="301" t="n"/>
    </row>
    <row r="131" ht="15" customHeight="1" s="221">
      <c r="A131" s="301" t="n"/>
      <c r="B131" s="301" t="n"/>
      <c r="C131" s="301" t="n"/>
      <c r="D131" s="301" t="n"/>
      <c r="E131" s="328" t="n"/>
      <c r="F131" s="301" t="n"/>
      <c r="G131" s="301" t="n"/>
      <c r="H131" s="301" t="n"/>
      <c r="I131" s="301" t="n"/>
      <c r="J131" s="301" t="n"/>
    </row>
    <row r="132" ht="15" customHeight="1" s="221">
      <c r="A132" s="301" t="n"/>
      <c r="B132" s="301" t="n"/>
      <c r="C132" s="301" t="n"/>
      <c r="D132" s="301" t="n"/>
      <c r="E132" s="328" t="n"/>
      <c r="F132" s="301" t="n"/>
      <c r="G132" s="301" t="n"/>
      <c r="H132" s="301" t="n"/>
      <c r="I132" s="301" t="n"/>
      <c r="J132" s="301" t="n"/>
    </row>
    <row r="133" ht="15" customHeight="1" s="221">
      <c r="A133" s="301" t="n"/>
      <c r="B133" s="301" t="n"/>
      <c r="C133" s="301" t="n"/>
      <c r="D133" s="301" t="n"/>
      <c r="E133" s="328" t="n"/>
      <c r="F133" s="301" t="n"/>
      <c r="G133" s="301" t="n"/>
      <c r="H133" s="301" t="n"/>
      <c r="I133" s="301" t="n"/>
      <c r="J133" s="301" t="n"/>
    </row>
    <row r="134" ht="15" customHeight="1" s="221">
      <c r="A134" s="301" t="n"/>
      <c r="B134" s="301" t="n"/>
      <c r="C134" s="301" t="n"/>
      <c r="D134" s="301" t="n"/>
      <c r="E134" s="328" t="n"/>
      <c r="F134" s="301" t="n"/>
      <c r="G134" s="301" t="n"/>
      <c r="H134" s="301" t="n"/>
      <c r="I134" s="301" t="n"/>
      <c r="J134" s="301" t="n"/>
    </row>
    <row r="135" ht="15" customHeight="1" s="221">
      <c r="A135" s="301" t="n"/>
      <c r="B135" s="301" t="n"/>
      <c r="C135" s="301" t="n"/>
      <c r="D135" s="301" t="n"/>
      <c r="E135" s="328" t="n"/>
      <c r="F135" s="301" t="n"/>
      <c r="G135" s="301" t="n"/>
      <c r="H135" s="301" t="n"/>
      <c r="I135" s="301" t="n"/>
      <c r="J135" s="301" t="n"/>
    </row>
    <row r="136" ht="15" customHeight="1" s="221">
      <c r="A136" s="301" t="n"/>
      <c r="B136" s="301" t="n"/>
      <c r="C136" s="301" t="n"/>
      <c r="D136" s="301" t="n"/>
      <c r="E136" s="328" t="n"/>
      <c r="F136" s="301" t="n"/>
      <c r="G136" s="301" t="n"/>
      <c r="H136" s="301" t="n"/>
      <c r="I136" s="301" t="n"/>
      <c r="J136" s="301" t="n"/>
    </row>
    <row r="137" ht="15" customHeight="1" s="221">
      <c r="A137" s="301" t="n"/>
      <c r="B137" s="301" t="n"/>
      <c r="C137" s="301" t="n"/>
      <c r="D137" s="301" t="n"/>
      <c r="E137" s="328" t="n"/>
      <c r="F137" s="301" t="n"/>
      <c r="G137" s="301" t="n"/>
      <c r="H137" s="301" t="n"/>
      <c r="I137" s="301" t="n"/>
      <c r="J137" s="301" t="n"/>
    </row>
    <row r="138" ht="15" customHeight="1" s="221">
      <c r="A138" s="301" t="n"/>
      <c r="B138" s="301" t="n"/>
      <c r="C138" s="301" t="n"/>
      <c r="D138" s="301" t="n"/>
      <c r="E138" s="328" t="n"/>
      <c r="F138" s="301" t="n"/>
      <c r="G138" s="301" t="n"/>
      <c r="H138" s="301" t="n"/>
      <c r="I138" s="301" t="n"/>
      <c r="J138" s="301" t="n"/>
    </row>
    <row r="139" ht="15" customHeight="1" s="221">
      <c r="A139" s="301" t="n"/>
      <c r="B139" s="301" t="n"/>
      <c r="C139" s="301" t="n"/>
      <c r="D139" s="301" t="n"/>
      <c r="E139" s="301" t="n"/>
      <c r="F139" s="301" t="n"/>
      <c r="G139" s="301" t="n"/>
      <c r="H139" s="301" t="n"/>
      <c r="I139" s="301" t="n"/>
      <c r="J139" s="301" t="n"/>
    </row>
    <row r="140" ht="15" customHeight="1" s="221">
      <c r="A140" s="301" t="n"/>
      <c r="B140" s="301" t="n"/>
      <c r="C140" s="301" t="n"/>
      <c r="D140" s="301" t="n"/>
      <c r="E140" s="301" t="n"/>
      <c r="F140" s="301" t="n"/>
      <c r="G140" s="301" t="n"/>
      <c r="H140" s="301" t="n"/>
      <c r="I140" s="301" t="n"/>
      <c r="J140" s="301" t="n"/>
    </row>
    <row r="141" ht="15" customHeight="1" s="221">
      <c r="A141" s="301" t="n"/>
      <c r="B141" s="301" t="n"/>
      <c r="C141" s="301" t="n"/>
      <c r="D141" s="301" t="n"/>
      <c r="E141" s="301" t="n"/>
      <c r="F141" s="301" t="n"/>
      <c r="G141" s="301" t="n"/>
      <c r="H141" s="301" t="n"/>
      <c r="I141" s="301" t="n"/>
      <c r="J141" s="301" t="n"/>
    </row>
    <row r="142" ht="15" customHeight="1" s="221">
      <c r="A142" s="301" t="n"/>
      <c r="B142" s="301" t="n"/>
      <c r="C142" s="301" t="n"/>
      <c r="D142" s="301" t="n"/>
      <c r="E142" s="301" t="n"/>
      <c r="F142" s="301" t="n"/>
      <c r="G142" s="301" t="n"/>
      <c r="H142" s="301" t="n"/>
      <c r="I142" s="301" t="n"/>
      <c r="J142" s="301" t="n"/>
    </row>
    <row r="143" ht="15" customHeight="1" s="221">
      <c r="A143" s="301" t="n"/>
      <c r="B143" s="301" t="n"/>
      <c r="C143" s="301" t="n"/>
      <c r="D143" s="301" t="n"/>
      <c r="E143" s="301" t="n"/>
      <c r="F143" s="301" t="n"/>
      <c r="G143" s="301" t="n"/>
      <c r="H143" s="301" t="n"/>
      <c r="I143" s="301" t="n"/>
      <c r="J143" s="301" t="n"/>
    </row>
    <row r="144" ht="15" customHeight="1" s="221">
      <c r="A144" s="301" t="n"/>
      <c r="B144" s="301" t="n"/>
      <c r="C144" s="301" t="n"/>
      <c r="D144" s="301" t="n"/>
      <c r="E144" s="301" t="n"/>
      <c r="F144" s="301" t="n"/>
      <c r="G144" s="301" t="n"/>
      <c r="H144" s="301" t="n"/>
      <c r="I144" s="301" t="n"/>
      <c r="J144" s="301" t="n"/>
    </row>
    <row r="145" ht="15" customHeight="1" s="221">
      <c r="A145" s="301" t="n"/>
      <c r="B145" s="301" t="n"/>
      <c r="C145" s="301" t="n"/>
      <c r="D145" s="301" t="n"/>
      <c r="E145" s="301" t="n"/>
      <c r="F145" s="301" t="n"/>
      <c r="G145" s="301" t="n"/>
      <c r="H145" s="301" t="n"/>
      <c r="I145" s="301" t="n"/>
      <c r="J145" s="301" t="n"/>
    </row>
    <row r="146" ht="15" customHeight="1" s="221">
      <c r="A146" s="301" t="n"/>
      <c r="B146" s="301" t="n"/>
      <c r="C146" s="301" t="n"/>
      <c r="D146" s="301" t="n"/>
      <c r="E146" s="301" t="n"/>
      <c r="F146" s="301" t="n"/>
      <c r="G146" s="301" t="n"/>
      <c r="H146" s="301" t="n"/>
      <c r="I146" s="301" t="n"/>
      <c r="J146" s="301" t="n"/>
    </row>
    <row r="147" ht="15" customHeight="1" s="221">
      <c r="A147" s="301" t="n"/>
      <c r="B147" s="301" t="n"/>
      <c r="C147" s="301" t="n"/>
      <c r="D147" s="301" t="n"/>
      <c r="E147" s="301" t="n"/>
      <c r="F147" s="301" t="n"/>
      <c r="G147" s="301" t="n"/>
      <c r="H147" s="301" t="n"/>
      <c r="I147" s="301" t="n"/>
      <c r="J147" s="301" t="n"/>
    </row>
    <row r="148" ht="15" customHeight="1" s="221">
      <c r="A148" s="301" t="n"/>
      <c r="B148" s="301" t="n"/>
      <c r="C148" s="301" t="n"/>
      <c r="D148" s="301" t="n"/>
      <c r="E148" s="301" t="n"/>
      <c r="F148" s="301" t="n"/>
      <c r="G148" s="301" t="n"/>
      <c r="H148" s="301" t="n"/>
      <c r="I148" s="301" t="n"/>
      <c r="J148" s="301" t="n"/>
    </row>
    <row r="149" ht="15" customHeight="1" s="221">
      <c r="A149" s="301" t="n"/>
      <c r="B149" s="301" t="n"/>
      <c r="C149" s="301" t="n"/>
      <c r="D149" s="301" t="n"/>
      <c r="E149" s="301" t="n"/>
      <c r="F149" s="301" t="n"/>
      <c r="G149" s="301" t="n"/>
      <c r="H149" s="301" t="n"/>
      <c r="I149" s="301" t="n"/>
      <c r="J149" s="301" t="n"/>
    </row>
    <row r="150" ht="15" customHeight="1" s="221">
      <c r="A150" s="301" t="n"/>
      <c r="B150" s="301" t="n"/>
      <c r="C150" s="301" t="n"/>
      <c r="D150" s="301" t="n"/>
      <c r="E150" s="301" t="n"/>
      <c r="F150" s="301" t="n"/>
      <c r="G150" s="301" t="n"/>
      <c r="H150" s="301" t="n"/>
      <c r="I150" s="301" t="n"/>
      <c r="J150" s="301" t="n"/>
    </row>
  </sheetData>
  <mergeCells count="3">
    <mergeCell ref="A104:D104"/>
    <mergeCell ref="A106:C106"/>
    <mergeCell ref="A1:H1"/>
  </mergeCells>
  <dataValidations count="2">
    <dataValidation sqref="B4:B103" showDropDown="0" showInputMessage="0" showErrorMessage="0" allowBlank="1" type="list" errorStyle="stop" operator="between">
      <formula1>"Familiar,NeuroTEA"</formula1>
      <formula2>0</formula2>
    </dataValidation>
    <dataValidation sqref="C4:C103" showDropDown="0" showInputMessage="0" showErrorMessage="0" allowBlank="1" type="list" errorStyle="stop" operator="between">
      <formula1>"Combustible,Supermercado,Farmacia,Recreación,Gastos Varios,Reserva Fam 1,Reserva Fam 2,Reserva Fam 3,Insumos NT,Papelería NT,Mantenimiento NT,Festejos NT,Gastos Cursos NT,Gastos Varios NT,Reserva NT 1,Reserva NT 2,Reserva NT 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tabColor rgb="FFD35400"/>
    <outlinePr summaryBelow="1" summaryRight="1"/>
    <pageSetUpPr fitToPage="0"/>
  </sheetPr>
  <dimension ref="A1:L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24" customWidth="1" style="220" min="1" max="1"/>
    <col width="12" customWidth="1" style="220" min="2" max="2"/>
    <col width="14" customWidth="1" style="220" min="3" max="4"/>
    <col width="2" customWidth="1" style="220" min="5" max="6"/>
    <col width="24" customWidth="1" style="220" min="7" max="7"/>
    <col width="12" customWidth="1" style="220" min="8" max="8"/>
    <col width="14" customWidth="1" style="220" min="9" max="10"/>
  </cols>
  <sheetData>
    <row r="1" ht="34.5" customHeight="1" s="221">
      <c r="A1" s="340" t="inlineStr">
        <is>
          <t>📊 CONTROL FINANCIERO - SEPTIEMBRE 2026</t>
        </is>
      </c>
      <c r="K1" s="301" t="n"/>
      <c r="L1" s="301" t="n"/>
    </row>
    <row r="2" ht="15" customHeight="1" s="221">
      <c r="A2" s="301" t="n"/>
      <c r="B2" s="301" t="n"/>
      <c r="C2" s="301" t="n"/>
      <c r="D2" s="301" t="n"/>
      <c r="E2" s="301" t="n"/>
      <c r="F2" s="301" t="n"/>
      <c r="G2" s="301" t="n"/>
      <c r="H2" s="301" t="n"/>
      <c r="I2" s="301" t="n"/>
      <c r="J2" s="301" t="n"/>
      <c r="K2" s="301" t="n"/>
      <c r="L2" s="301" t="n"/>
    </row>
    <row r="3" ht="15" customHeight="1" s="221">
      <c r="A3" s="341" t="inlineStr">
        <is>
          <t>TOTAL INGRESOS</t>
        </is>
      </c>
      <c r="C3" s="301" t="n"/>
      <c r="D3" s="342" t="inlineStr">
        <is>
          <t>GASTOS PAGADOS</t>
        </is>
      </c>
      <c r="F3" s="301" t="n"/>
      <c r="G3" s="343" t="inlineStr">
        <is>
          <t>GASTOS PENDIENTES</t>
        </is>
      </c>
      <c r="I3" s="301" t="n"/>
      <c r="J3" s="344" t="inlineStr">
        <is>
          <t>BALANCE</t>
        </is>
      </c>
      <c r="K3" s="301" t="n"/>
      <c r="L3" s="301" t="n"/>
    </row>
    <row r="4" ht="22.5" customHeight="1" s="221">
      <c r="A4" s="345">
        <f>D26+J12</f>
        <v/>
      </c>
      <c r="C4" s="328" t="n"/>
      <c r="D4" s="346">
        <f>D65+I58</f>
        <v/>
      </c>
      <c r="F4" s="301" t="n"/>
      <c r="G4" s="347">
        <f>D66+I59</f>
        <v/>
      </c>
      <c r="I4" s="301" t="n"/>
      <c r="J4" s="348">
        <f>A4-D4-G4</f>
        <v/>
      </c>
      <c r="K4" s="301" t="n"/>
      <c r="L4" s="301" t="n"/>
    </row>
    <row r="5" ht="15" customHeight="1" s="221">
      <c r="A5" s="301" t="n"/>
      <c r="B5" s="301" t="n"/>
      <c r="C5" s="301" t="n"/>
      <c r="D5" s="301" t="n"/>
      <c r="E5" s="301" t="n"/>
      <c r="F5" s="301" t="n"/>
      <c r="G5" s="301" t="n"/>
      <c r="H5" s="301" t="n"/>
      <c r="I5" s="301" t="n"/>
      <c r="J5" s="301" t="n"/>
      <c r="K5" s="301" t="n"/>
      <c r="L5" s="301" t="n"/>
    </row>
    <row r="6" ht="15.75" customHeight="1" s="221">
      <c r="A6" s="349" t="inlineStr">
        <is>
          <t>⚠️ PRÉSTAMO NT → FAMILIA</t>
        </is>
      </c>
      <c r="D6" s="350">
        <f>SUMIF('Ing-Egr Septiembre 2026'!B4:B103,"Préstamo NT → Familia",'Ing-Egr Septiembre 2026'!F4:F103)-SUMIF('Ing-Egr Septiembre 2026'!B4:B103,"Devolución Familia → NT",'Ing-Egr Septiembre 2026'!E4:E103)</f>
        <v/>
      </c>
      <c r="E6" s="301" t="n"/>
      <c r="F6" s="351" t="inlineStr">
        <is>
          <t>Estado:</t>
        </is>
      </c>
      <c r="G6" s="351">
        <f>IF(D6=0,"🟢 SANO","🔴 FUGA")</f>
        <v/>
      </c>
      <c r="H6" s="301" t="n"/>
      <c r="I6" s="339" t="inlineStr">
        <is>
          <t>(Ideal = 0)</t>
        </is>
      </c>
      <c r="J6" s="301" t="n"/>
      <c r="K6" s="301" t="n"/>
      <c r="L6" s="301" t="n"/>
    </row>
    <row r="7" ht="15" customHeight="1" s="221">
      <c r="A7" s="301" t="n"/>
      <c r="B7" s="301" t="n"/>
      <c r="C7" s="301" t="n"/>
      <c r="D7" s="301" t="n"/>
      <c r="E7" s="301" t="n"/>
      <c r="F7" s="301" t="n"/>
      <c r="G7" s="301" t="n"/>
      <c r="H7" s="301" t="n"/>
      <c r="I7" s="301" t="n"/>
      <c r="J7" s="301" t="n"/>
      <c r="K7" s="301" t="n"/>
      <c r="L7" s="301" t="n"/>
    </row>
    <row r="8" ht="15" customHeight="1" s="221">
      <c r="A8" s="352" t="inlineStr">
        <is>
          <t>💵 INGRESOS FAMILIA</t>
        </is>
      </c>
      <c r="B8" s="256" t="n"/>
      <c r="C8" s="256" t="n"/>
      <c r="D8" s="353" t="n"/>
      <c r="E8" s="354" t="n"/>
      <c r="F8" s="354" t="n"/>
      <c r="G8" s="355" t="inlineStr">
        <is>
          <t>💵 INGRESOS NEUROTEA</t>
        </is>
      </c>
      <c r="H8" s="256" t="n"/>
      <c r="I8" s="256" t="n"/>
      <c r="J8" s="353" t="n"/>
      <c r="K8" s="301" t="n"/>
      <c r="L8" s="301" t="n"/>
    </row>
    <row r="9" ht="15" customHeight="1" s="221">
      <c r="A9" s="356" t="inlineStr">
        <is>
          <t>MARCO ITAIPU</t>
        </is>
      </c>
      <c r="B9" s="353" t="n"/>
      <c r="C9" s="357" t="inlineStr">
        <is>
          <t>Fecha</t>
        </is>
      </c>
      <c r="D9" s="358" t="inlineStr">
        <is>
          <t>Monto</t>
        </is>
      </c>
      <c r="E9" s="359" t="n"/>
      <c r="F9" s="360" t="n"/>
      <c r="G9" s="361" t="inlineStr">
        <is>
          <t>Ingreso del Mes</t>
        </is>
      </c>
      <c r="H9" s="256" t="n"/>
      <c r="I9" s="353" t="n"/>
      <c r="J9" s="362" t="inlineStr">
        <is>
          <t>Monto</t>
        </is>
      </c>
      <c r="K9" s="301" t="n"/>
      <c r="L9" s="301" t="n"/>
    </row>
    <row r="10" ht="15" customHeight="1" s="221">
      <c r="A10" s="363" t="inlineStr">
        <is>
          <t>Salario Mensual</t>
        </is>
      </c>
      <c r="B10" s="364" t="n"/>
      <c r="C10" s="365" t="n"/>
      <c r="D10" s="366">
        <f>SUMIFS('Ing-Egr Septiembre 2026'!E4:E103,'Ing-Egr Septiembre 2026'!B4:B103,"Ingreso Marco",'Ing-Egr Septiembre 2026'!C4:C103,A10)</f>
        <v/>
      </c>
      <c r="E10" s="359" t="n"/>
      <c r="F10" s="360" t="n"/>
      <c r="G10" s="367" t="inlineStr">
        <is>
          <t>(Suma desde pestaña Ing-Egr Septiembre)</t>
        </is>
      </c>
      <c r="H10" s="256" t="n"/>
      <c r="I10" s="353" t="n"/>
      <c r="J10" s="368">
        <f>SUMIF('Ing-Egr Septiembre 2026'!B4:B103,"Ingreso NT",'Ing-Egr Septiembre 2026'!E4:E103)</f>
        <v/>
      </c>
      <c r="K10" s="301" t="n"/>
      <c r="L10" s="301" t="n"/>
    </row>
    <row r="11" ht="15" customHeight="1" s="221">
      <c r="A11" s="369" t="inlineStr">
        <is>
          <t>Vacaciones</t>
        </is>
      </c>
      <c r="B11" s="370" t="n"/>
      <c r="C11" s="371" t="n"/>
      <c r="D11" s="366">
        <f>SUMIFS('Ing-Egr Septiembre 2026'!E4:E103,'Ing-Egr Septiembre 2026'!B4:B103,"Ingreso Marco",'Ing-Egr Septiembre 2026'!C4:C103,A11)</f>
        <v/>
      </c>
      <c r="E11" s="359" t="n"/>
      <c r="F11" s="360" t="n"/>
      <c r="G11" s="359" t="n"/>
      <c r="H11" s="301" t="n"/>
      <c r="I11" s="301" t="n"/>
      <c r="J11" s="301" t="n"/>
      <c r="K11" s="301" t="n"/>
      <c r="L11" s="301" t="n"/>
    </row>
    <row r="12" ht="15" customHeight="1" s="221">
      <c r="A12" s="363" t="inlineStr">
        <is>
          <t>Aguinaldo</t>
        </is>
      </c>
      <c r="B12" s="364" t="n"/>
      <c r="C12" s="365" t="n"/>
      <c r="D12" s="366">
        <f>SUMIFS('Ing-Egr Septiembre 2026'!E4:E103,'Ing-Egr Septiembre 2026'!B4:B103,"Ingreso Marco",'Ing-Egr Septiembre 2026'!C4:C103,A12)</f>
        <v/>
      </c>
      <c r="E12" s="359" t="n"/>
      <c r="F12" s="360" t="n"/>
      <c r="G12" s="372" t="inlineStr">
        <is>
          <t>═══ TOTAL INGRESOS NT ═══</t>
        </is>
      </c>
      <c r="H12" s="256" t="n"/>
      <c r="I12" s="353" t="n"/>
      <c r="J12" s="373">
        <f>J10</f>
        <v/>
      </c>
      <c r="K12" s="301" t="n"/>
      <c r="L12" s="301" t="n"/>
    </row>
    <row r="13" ht="15" customHeight="1" s="221">
      <c r="A13" s="369" t="inlineStr">
        <is>
          <t>Viático</t>
        </is>
      </c>
      <c r="B13" s="370" t="n"/>
      <c r="C13" s="371" t="n"/>
      <c r="D13" s="366">
        <f>SUMIFS('Ing-Egr Septiembre 2026'!E4:E103,'Ing-Egr Septiembre 2026'!B4:B103,"Ingreso Marco",'Ing-Egr Septiembre 2026'!C4:C103,A13)</f>
        <v/>
      </c>
      <c r="E13" s="359" t="n"/>
      <c r="F13" s="360" t="n"/>
      <c r="G13" s="359" t="n"/>
      <c r="H13" s="301" t="n"/>
      <c r="I13" s="301" t="n"/>
      <c r="J13" s="301" t="n"/>
      <c r="K13" s="301" t="n"/>
      <c r="L13" s="301" t="n"/>
    </row>
    <row r="14" ht="15" customHeight="1" s="221">
      <c r="A14" s="363" t="inlineStr">
        <is>
          <t>Animador Bíblico</t>
        </is>
      </c>
      <c r="B14" s="364" t="n"/>
      <c r="C14" s="365" t="n"/>
      <c r="D14" s="366">
        <f>SUMIFS('Ing-Egr Septiembre 2026'!E4:E103,'Ing-Egr Septiembre 2026'!B4:B103,"Ingreso Marco",'Ing-Egr Septiembre 2026'!C4:C103,A14)</f>
        <v/>
      </c>
      <c r="E14" s="359" t="n"/>
      <c r="F14" s="360" t="n"/>
      <c r="G14" s="359" t="n"/>
      <c r="H14" s="301" t="n"/>
      <c r="I14" s="301" t="n"/>
      <c r="J14" s="301" t="n"/>
      <c r="K14" s="301" t="n"/>
      <c r="L14" s="301" t="n"/>
    </row>
    <row r="15" ht="15" customHeight="1" s="221">
      <c r="A15" s="369" t="inlineStr">
        <is>
          <t>Otros Ocasionales</t>
        </is>
      </c>
      <c r="B15" s="370" t="n"/>
      <c r="C15" s="371" t="n"/>
      <c r="D15" s="366">
        <f>SUMIFS('Ing-Egr Septiembre 2026'!E4:E103,'Ing-Egr Septiembre 2026'!B4:B103,"Ingreso Marco",'Ing-Egr Septiembre 2026'!C4:C103,A15)</f>
        <v/>
      </c>
      <c r="E15" s="359" t="n"/>
      <c r="F15" s="360" t="n"/>
      <c r="G15" s="359" t="n"/>
      <c r="H15" s="301" t="n"/>
      <c r="I15" s="374">
        <f>J12</f>
        <v/>
      </c>
      <c r="J15" s="301" t="n"/>
      <c r="K15" s="301" t="n"/>
      <c r="L15" s="301" t="n"/>
    </row>
    <row r="16" ht="15" customHeight="1" s="221">
      <c r="A16" s="375" t="inlineStr">
        <is>
          <t>TOTAL MARCO</t>
        </is>
      </c>
      <c r="B16" s="360" t="n"/>
      <c r="C16" s="359" t="n"/>
      <c r="D16" s="376">
        <f>SUM(D10:D15)</f>
        <v/>
      </c>
      <c r="E16" s="359" t="n"/>
      <c r="F16" s="360" t="n"/>
      <c r="G16" s="359" t="n"/>
      <c r="H16" s="301" t="n"/>
      <c r="I16" s="301" t="n"/>
      <c r="J16" s="301" t="n"/>
      <c r="K16" s="301" t="n"/>
      <c r="L16" s="301" t="n"/>
    </row>
    <row r="17" ht="15" customHeight="1" s="221">
      <c r="A17" s="377" t="inlineStr">
        <is>
          <t>CLARA</t>
        </is>
      </c>
      <c r="B17" s="353" t="n"/>
      <c r="C17" s="378" t="inlineStr">
        <is>
          <t>Fecha</t>
        </is>
      </c>
      <c r="D17" s="379" t="inlineStr">
        <is>
          <t>Monto</t>
        </is>
      </c>
      <c r="E17" s="359" t="n"/>
      <c r="F17" s="360" t="n"/>
      <c r="G17" s="359" t="n"/>
      <c r="H17" s="301" t="n"/>
      <c r="I17" s="301" t="n"/>
      <c r="J17" s="301" t="n"/>
      <c r="K17" s="301" t="n"/>
      <c r="L17" s="301" t="n"/>
    </row>
    <row r="18" ht="15" customHeight="1" s="221">
      <c r="A18" s="380" t="inlineStr">
        <is>
          <t>Honorarios Diarios</t>
        </is>
      </c>
      <c r="B18" s="381" t="n"/>
      <c r="C18" s="382" t="n"/>
      <c r="D18" s="383">
        <f>SUMIF('Ing-Egr Septiembre 2026'!B4:B103,"Ingreso Clara",'Ing-Egr Septiembre 2026'!E4:E103)</f>
        <v/>
      </c>
      <c r="E18" s="359" t="n"/>
      <c r="F18" s="360" t="n"/>
      <c r="G18" s="359" t="n"/>
      <c r="H18" s="301" t="n"/>
      <c r="I18" s="301" t="n"/>
      <c r="J18" s="301" t="n"/>
      <c r="K18" s="301" t="n"/>
      <c r="L18" s="301" t="n"/>
    </row>
    <row r="19" ht="15" customHeight="1" s="221">
      <c r="A19" s="384" t="inlineStr">
        <is>
          <t>TOTAL CLARA</t>
        </is>
      </c>
      <c r="B19" s="301" t="n"/>
      <c r="C19" s="301" t="n"/>
      <c r="D19" s="385">
        <f>D18</f>
        <v/>
      </c>
      <c r="E19" s="359" t="n"/>
      <c r="F19" s="360" t="n"/>
      <c r="G19" s="359" t="n"/>
      <c r="H19" s="301" t="n"/>
      <c r="I19" s="301" t="n"/>
      <c r="J19" s="301" t="n"/>
      <c r="K19" s="301" t="n"/>
      <c r="L19" s="301" t="n"/>
    </row>
    <row r="20" ht="15" customHeight="1" s="221">
      <c r="A20" s="386" t="inlineStr">
        <is>
          <t>DESDE NEUROTEA</t>
        </is>
      </c>
      <c r="D20" s="387" t="inlineStr">
        <is>
          <t>Monto</t>
        </is>
      </c>
      <c r="E20" s="359" t="n"/>
      <c r="F20" s="360" t="n"/>
      <c r="G20" s="359" t="n"/>
      <c r="H20" s="301" t="n"/>
      <c r="I20" s="301" t="n"/>
      <c r="J20" s="301" t="n"/>
      <c r="K20" s="301" t="n"/>
      <c r="L20" s="301" t="n"/>
    </row>
    <row r="21" ht="15" customHeight="1" s="221">
      <c r="A21" s="388" t="inlineStr">
        <is>
          <t>Salario Admin Marco</t>
        </is>
      </c>
      <c r="B21" s="388" t="n"/>
      <c r="C21" s="388" t="n"/>
      <c r="D21" s="389" t="n">
        <v>0</v>
      </c>
      <c r="E21" s="359" t="n"/>
      <c r="F21" s="360" t="n"/>
      <c r="G21" s="359" t="n"/>
      <c r="H21" s="301" t="n"/>
      <c r="I21" s="301" t="n"/>
      <c r="J21" s="301" t="n"/>
      <c r="K21" s="301" t="n"/>
      <c r="L21" s="301" t="n"/>
    </row>
    <row r="22" ht="15" customHeight="1" s="221">
      <c r="A22" s="390" t="inlineStr">
        <is>
          <t>Ganancia NT → Familia</t>
        </is>
      </c>
      <c r="B22" s="390" t="n"/>
      <c r="C22" s="390" t="n"/>
      <c r="D22" s="391" t="n">
        <v>0</v>
      </c>
      <c r="E22" s="359" t="n"/>
      <c r="F22" s="360" t="n"/>
      <c r="G22" s="359" t="n"/>
      <c r="H22" s="301" t="n"/>
      <c r="I22" s="301" t="n"/>
      <c r="J22" s="301" t="n"/>
      <c r="K22" s="301" t="n"/>
      <c r="L22" s="301" t="n"/>
    </row>
    <row r="23" ht="15" customHeight="1" s="221">
      <c r="A23" s="388" t="inlineStr">
        <is>
          <t>Préstamo NT (automático)</t>
        </is>
      </c>
      <c r="B23" s="388" t="n"/>
      <c r="C23" s="388" t="n"/>
      <c r="D23" s="389">
        <f>D6</f>
        <v/>
      </c>
      <c r="E23" s="359" t="n"/>
      <c r="F23" s="360" t="n"/>
      <c r="G23" s="359" t="n"/>
      <c r="H23" s="301" t="n"/>
      <c r="I23" s="301" t="n"/>
      <c r="J23" s="301" t="n"/>
      <c r="K23" s="301" t="n"/>
      <c r="L23" s="301" t="n"/>
    </row>
    <row r="24" ht="15" customHeight="1" s="221">
      <c r="A24" s="392" t="inlineStr">
        <is>
          <t>TOTAL DESDE NT</t>
        </is>
      </c>
      <c r="B24" s="301" t="n"/>
      <c r="C24" s="301" t="n"/>
      <c r="D24" s="393">
        <f>SUM(D21:D23)</f>
        <v/>
      </c>
      <c r="E24" s="359" t="n"/>
      <c r="F24" s="360" t="n"/>
      <c r="G24" s="359" t="n"/>
      <c r="H24" s="301" t="n"/>
      <c r="I24" s="301" t="n"/>
      <c r="J24" s="301" t="n"/>
      <c r="K24" s="301" t="n"/>
      <c r="L24" s="301" t="n"/>
    </row>
    <row r="25" ht="15" customHeight="1" s="221">
      <c r="A25" s="301" t="n"/>
      <c r="B25" s="301" t="n"/>
      <c r="C25" s="301" t="n"/>
      <c r="D25" s="360" t="n"/>
      <c r="E25" s="359" t="n"/>
      <c r="F25" s="360" t="n"/>
      <c r="G25" s="359" t="n"/>
      <c r="H25" s="301" t="n"/>
      <c r="I25" s="301" t="n"/>
      <c r="J25" s="301" t="n"/>
      <c r="K25" s="301" t="n"/>
      <c r="L25" s="301" t="n"/>
    </row>
    <row r="26" ht="15" customHeight="1" s="221">
      <c r="A26" s="223" t="inlineStr">
        <is>
          <t>═══ TOTAL INGRESOS FAMILIA ═══</t>
        </is>
      </c>
      <c r="D26" s="394">
        <f>D16+D19+D24</f>
        <v/>
      </c>
      <c r="E26" s="359" t="n"/>
      <c r="F26" s="360" t="n"/>
      <c r="G26" s="359" t="n"/>
      <c r="H26" s="301" t="n"/>
      <c r="I26" s="301" t="n"/>
      <c r="J26" s="301" t="n"/>
      <c r="K26" s="301" t="n"/>
      <c r="L26" s="301" t="n"/>
    </row>
    <row r="27" ht="15" customHeight="1" s="221">
      <c r="A27" s="301" t="n"/>
      <c r="B27" s="301" t="n"/>
      <c r="C27" s="301" t="n"/>
      <c r="D27" s="360" t="n"/>
      <c r="E27" s="359" t="n"/>
      <c r="F27" s="360" t="n"/>
      <c r="G27" s="359" t="n"/>
      <c r="H27" s="301" t="n"/>
      <c r="I27" s="301" t="n"/>
      <c r="J27" s="301" t="n"/>
      <c r="K27" s="301" t="n"/>
      <c r="L27" s="301" t="n"/>
    </row>
    <row r="28" ht="15.75" customHeight="1" s="221">
      <c r="A28" s="395" t="inlineStr">
        <is>
          <t>📉 GASTOS FAMILIARES</t>
        </is>
      </c>
      <c r="E28" s="328" t="n"/>
      <c r="F28" s="301" t="n"/>
      <c r="G28" s="396" t="inlineStr">
        <is>
          <t>📉 GASTOS NEUROTEA</t>
        </is>
      </c>
      <c r="K28" s="301" t="n"/>
      <c r="L28" s="301" t="n"/>
    </row>
    <row r="29" ht="15" customHeight="1" s="221">
      <c r="A29" s="397" t="inlineStr">
        <is>
          <t>Detalle</t>
        </is>
      </c>
      <c r="B29" s="397" t="inlineStr">
        <is>
          <t>Estado</t>
        </is>
      </c>
      <c r="C29" s="397" t="inlineStr">
        <is>
          <t>Monto</t>
        </is>
      </c>
      <c r="D29" s="397" t="inlineStr">
        <is>
          <t>Venc.</t>
        </is>
      </c>
      <c r="E29" s="301" t="n"/>
      <c r="F29" s="301" t="n"/>
      <c r="G29" s="398" t="inlineStr">
        <is>
          <t>Detalle</t>
        </is>
      </c>
      <c r="H29" s="398" t="inlineStr">
        <is>
          <t>Estado</t>
        </is>
      </c>
      <c r="I29" s="398" t="inlineStr">
        <is>
          <t>Monto</t>
        </is>
      </c>
      <c r="J29" s="398" t="inlineStr">
        <is>
          <t>Venc.</t>
        </is>
      </c>
      <c r="K29" s="301" t="n"/>
      <c r="L29" s="301" t="n"/>
    </row>
    <row r="30" ht="15.75" customHeight="1" s="221">
      <c r="A30" s="399" t="inlineStr">
        <is>
          <t>► GASTOS FIJOS ✏️</t>
        </is>
      </c>
      <c r="E30" s="301" t="n"/>
      <c r="F30" s="301" t="n"/>
      <c r="G30" s="400" t="inlineStr">
        <is>
          <t>► GASTOS FIJOS ✏️</t>
        </is>
      </c>
      <c r="K30" s="301" t="n"/>
      <c r="L30" s="301" t="n"/>
    </row>
    <row r="31" ht="15" customHeight="1" s="221">
      <c r="A31" s="401" t="inlineStr">
        <is>
          <t>Salario Lili Doméstico</t>
        </is>
      </c>
      <c r="B31" s="401" t="inlineStr">
        <is>
          <t>Ninguno</t>
        </is>
      </c>
      <c r="C31" s="402" t="n"/>
      <c r="D31" s="458" t="n"/>
      <c r="E31" s="301" t="n"/>
      <c r="F31" s="301" t="n"/>
      <c r="G31" s="403" t="inlineStr">
        <is>
          <t>Alquiler 1 (Principal)</t>
        </is>
      </c>
      <c r="H31" s="403" t="inlineStr">
        <is>
          <t>Ninguno</t>
        </is>
      </c>
      <c r="I31" s="404" t="n">
        <v>0</v>
      </c>
      <c r="J31" s="459" t="n"/>
      <c r="K31" s="301" t="n"/>
      <c r="L31" s="301" t="n"/>
    </row>
    <row r="32" ht="15" customHeight="1" s="221">
      <c r="A32" s="405" t="inlineStr">
        <is>
          <t>Salario Laura Doméstico</t>
        </is>
      </c>
      <c r="B32" s="405" t="inlineStr">
        <is>
          <t>Ninguno</t>
        </is>
      </c>
      <c r="C32" s="406" t="n"/>
      <c r="D32" s="460" t="n"/>
      <c r="E32" s="301" t="n"/>
      <c r="F32" s="301" t="n"/>
      <c r="G32" s="407" t="inlineStr">
        <is>
          <t>Alquiler 2 (Secundario)</t>
        </is>
      </c>
      <c r="H32" s="407" t="inlineStr">
        <is>
          <t>Ninguno</t>
        </is>
      </c>
      <c r="I32" s="408" t="n">
        <v>0</v>
      </c>
      <c r="J32" s="461" t="n"/>
      <c r="K32" s="301" t="n"/>
      <c r="L32" s="301" t="n"/>
    </row>
    <row r="33" ht="15" customHeight="1" s="221">
      <c r="A33" s="401" t="inlineStr">
        <is>
          <t>Escuela Fabián y Brenda</t>
        </is>
      </c>
      <c r="B33" s="401" t="inlineStr">
        <is>
          <t>Ninguno</t>
        </is>
      </c>
      <c r="C33" s="402" t="n"/>
      <c r="D33" s="458" t="n"/>
      <c r="E33" s="301" t="n"/>
      <c r="F33" s="301" t="n"/>
      <c r="G33" s="403" t="inlineStr">
        <is>
          <t>Limpieza NeuroTEA</t>
        </is>
      </c>
      <c r="H33" s="403" t="inlineStr">
        <is>
          <t>Ninguno</t>
        </is>
      </c>
      <c r="I33" s="404" t="n">
        <v>0</v>
      </c>
      <c r="J33" s="459" t="n"/>
      <c r="K33" s="301" t="n"/>
      <c r="L33" s="301" t="n"/>
    </row>
    <row r="34" ht="15" customHeight="1" s="221">
      <c r="A34" s="405" t="inlineStr">
        <is>
          <t>Robótica Niños</t>
        </is>
      </c>
      <c r="B34" s="405" t="inlineStr">
        <is>
          <t>Ninguno</t>
        </is>
      </c>
      <c r="C34" s="406" t="n"/>
      <c r="D34" s="460" t="n"/>
      <c r="E34" s="301" t="n"/>
      <c r="F34" s="301" t="n"/>
      <c r="G34" s="400" t="inlineStr">
        <is>
          <t>► SUELDOS Y HONORARIOS ✏️</t>
        </is>
      </c>
      <c r="K34" s="301" t="n"/>
      <c r="L34" s="301" t="n"/>
    </row>
    <row r="35" ht="15" customHeight="1" s="221">
      <c r="A35" s="410" t="inlineStr">
        <is>
          <t>ANDE Casa</t>
        </is>
      </c>
      <c r="B35" s="410" t="inlineStr">
        <is>
          <t>Ninguno</t>
        </is>
      </c>
      <c r="C35" s="411" t="n"/>
      <c r="D35" s="463" t="n"/>
      <c r="E35" s="301" t="n"/>
      <c r="F35" s="301" t="n"/>
      <c r="G35" s="403" t="inlineStr">
        <is>
          <t>Sueldo Aracely</t>
        </is>
      </c>
      <c r="H35" s="403" t="inlineStr">
        <is>
          <t>Ninguno</t>
        </is>
      </c>
      <c r="I35" s="404" t="n">
        <v>0</v>
      </c>
      <c r="J35" s="459" t="n"/>
      <c r="K35" s="301" t="n"/>
      <c r="L35" s="301" t="n"/>
    </row>
    <row r="36" ht="15" customHeight="1" s="221">
      <c r="A36" s="405" t="inlineStr">
        <is>
          <t>Expensa Casa</t>
        </is>
      </c>
      <c r="B36" s="405" t="inlineStr">
        <is>
          <t>Ninguno</t>
        </is>
      </c>
      <c r="C36" s="406" t="n"/>
      <c r="D36" s="460" t="n"/>
      <c r="E36" s="301" t="n"/>
      <c r="F36" s="301" t="n"/>
      <c r="G36" s="407" t="inlineStr">
        <is>
          <t>Sueldo Fátima</t>
        </is>
      </c>
      <c r="H36" s="407" t="inlineStr">
        <is>
          <t>Ninguno</t>
        </is>
      </c>
      <c r="I36" s="408" t="n">
        <v>0</v>
      </c>
      <c r="J36" s="461" t="n"/>
      <c r="K36" s="301" t="n"/>
      <c r="L36" s="301" t="n"/>
    </row>
    <row r="37" ht="15" customHeight="1" s="221">
      <c r="A37" s="410" t="inlineStr">
        <is>
          <t>Cajubi Marco</t>
        </is>
      </c>
      <c r="B37" s="410" t="inlineStr">
        <is>
          <t>Ninguno</t>
        </is>
      </c>
      <c r="C37" s="411" t="n"/>
      <c r="D37" s="463" t="n"/>
      <c r="E37" s="301" t="n"/>
      <c r="F37" s="301" t="n"/>
      <c r="G37" s="403" t="inlineStr">
        <is>
          <t>Honorario Contador</t>
        </is>
      </c>
      <c r="H37" s="403" t="inlineStr">
        <is>
          <t>Ninguno</t>
        </is>
      </c>
      <c r="I37" s="404" t="n">
        <v>0</v>
      </c>
      <c r="J37" s="459" t="n"/>
      <c r="K37" s="301" t="n"/>
      <c r="L37" s="301" t="n"/>
    </row>
    <row r="38" ht="15" customHeight="1" s="221">
      <c r="A38" s="405" t="inlineStr">
        <is>
          <t>Mutual Marco</t>
        </is>
      </c>
      <c r="B38" s="405" t="inlineStr">
        <is>
          <t>Ninguno</t>
        </is>
      </c>
      <c r="C38" s="406" t="n"/>
      <c r="D38" s="460" t="n"/>
      <c r="E38" s="301" t="n"/>
      <c r="F38" s="301" t="n"/>
      <c r="G38" s="407" t="inlineStr">
        <is>
          <t>Salario Administrador</t>
        </is>
      </c>
      <c r="H38" s="407" t="inlineStr">
        <is>
          <t>Ninguno</t>
        </is>
      </c>
      <c r="I38" s="408" t="n">
        <v>0</v>
      </c>
      <c r="J38" s="461" t="n"/>
      <c r="K38" s="301" t="n"/>
      <c r="L38" s="301" t="n"/>
    </row>
    <row r="39" ht="15" customHeight="1" s="221">
      <c r="A39" s="410" t="inlineStr">
        <is>
          <t>Ña Luisa</t>
        </is>
      </c>
      <c r="B39" s="410" t="inlineStr">
        <is>
          <t>Ninguno</t>
        </is>
      </c>
      <c r="C39" s="411" t="n"/>
      <c r="D39" s="463" t="n"/>
      <c r="E39" s="301" t="n"/>
      <c r="F39" s="301" t="n"/>
      <c r="G39" s="403" t="inlineStr">
        <is>
          <t>Honorario Mant. Sistema</t>
        </is>
      </c>
      <c r="H39" s="403" t="inlineStr">
        <is>
          <t>Ninguno</t>
        </is>
      </c>
      <c r="I39" s="404" t="n">
        <v>0</v>
      </c>
      <c r="J39" s="459" t="n"/>
      <c r="K39" s="301" t="n"/>
      <c r="L39" s="301" t="n"/>
    </row>
    <row r="40" ht="15" customHeight="1" s="221">
      <c r="A40" s="405" t="inlineStr">
        <is>
          <t>Seguro Médico Papá y Mamá</t>
        </is>
      </c>
      <c r="B40" s="405" t="inlineStr">
        <is>
          <t>Ninguno</t>
        </is>
      </c>
      <c r="C40" s="406" t="n"/>
      <c r="D40" s="460" t="n"/>
      <c r="E40" s="301" t="n"/>
      <c r="F40" s="301" t="n"/>
      <c r="G40" s="400" t="inlineStr">
        <is>
          <t>► TELEFONÍA E INTERNET ✏️</t>
        </is>
      </c>
      <c r="K40" s="301" t="n"/>
      <c r="L40" s="301" t="n"/>
    </row>
    <row r="41" ht="15" customHeight="1" s="221">
      <c r="A41" s="413" t="inlineStr">
        <is>
          <t>► CUOTAS Y PRÉSTAMOS ✏️</t>
        </is>
      </c>
      <c r="B41" s="256" t="n"/>
      <c r="C41" s="256" t="n"/>
      <c r="D41" s="353" t="n"/>
      <c r="E41" s="301" t="n"/>
      <c r="F41" s="301" t="n"/>
      <c r="G41" s="403" t="inlineStr">
        <is>
          <t>Celular Tigo NeuroTEA</t>
        </is>
      </c>
      <c r="H41" s="403" t="inlineStr">
        <is>
          <t>Ninguno</t>
        </is>
      </c>
      <c r="I41" s="404" t="n">
        <v>0</v>
      </c>
      <c r="J41" s="459" t="n"/>
      <c r="K41" s="301" t="n"/>
      <c r="L41" s="301" t="n"/>
    </row>
    <row r="42" ht="15" customHeight="1" s="221">
      <c r="A42" s="410" t="inlineStr">
        <is>
          <t>Auto Laura Cuota</t>
        </is>
      </c>
      <c r="B42" s="410" t="inlineStr">
        <is>
          <t>Ninguno</t>
        </is>
      </c>
      <c r="C42" s="411" t="n"/>
      <c r="D42" s="463" t="n"/>
      <c r="E42" s="301" t="n"/>
      <c r="F42" s="301" t="n"/>
      <c r="G42" s="407" t="inlineStr">
        <is>
          <t>Celular Tigo Sistema</t>
        </is>
      </c>
      <c r="H42" s="407" t="inlineStr">
        <is>
          <t>Ninguno</t>
        </is>
      </c>
      <c r="I42" s="408" t="n">
        <v>0</v>
      </c>
      <c r="J42" s="461" t="n"/>
      <c r="K42" s="301" t="n"/>
      <c r="L42" s="301" t="n"/>
    </row>
    <row r="43" ht="15" customHeight="1" s="221">
      <c r="A43" s="405" t="inlineStr">
        <is>
          <t>Coop. Universitaria Clara</t>
        </is>
      </c>
      <c r="B43" s="405" t="inlineStr">
        <is>
          <t>Ninguno</t>
        </is>
      </c>
      <c r="C43" s="406" t="n"/>
      <c r="D43" s="460" t="n"/>
      <c r="E43" s="301" t="n"/>
      <c r="F43" s="301" t="n"/>
      <c r="G43" s="403" t="inlineStr">
        <is>
          <t>WhatsFlow</t>
        </is>
      </c>
      <c r="H43" s="403" t="inlineStr">
        <is>
          <t>Ninguno</t>
        </is>
      </c>
      <c r="I43" s="404" t="n">
        <v>0</v>
      </c>
      <c r="J43" s="459" t="n"/>
      <c r="K43" s="301" t="n"/>
      <c r="L43" s="301" t="n"/>
    </row>
    <row r="44" ht="15" customHeight="1" s="221">
      <c r="A44" s="410" t="inlineStr">
        <is>
          <t>Coomecipar Clara</t>
        </is>
      </c>
      <c r="B44" s="410" t="inlineStr">
        <is>
          <t>Ninguno</t>
        </is>
      </c>
      <c r="C44" s="411" t="n"/>
      <c r="D44" s="463" t="n"/>
      <c r="E44" s="301" t="n"/>
      <c r="F44" s="301" t="n"/>
      <c r="G44" s="407" t="inlineStr">
        <is>
          <t>Internet NeuroTEA</t>
        </is>
      </c>
      <c r="H44" s="407" t="inlineStr">
        <is>
          <t>Ninguno</t>
        </is>
      </c>
      <c r="I44" s="408" t="n">
        <v>0</v>
      </c>
      <c r="J44" s="461" t="n"/>
      <c r="K44" s="301" t="n"/>
      <c r="L44" s="301" t="n"/>
    </row>
    <row r="45" ht="15" customHeight="1" s="221">
      <c r="A45" s="414" t="inlineStr">
        <is>
          <t>Tarjeta Cred. Coomecipar</t>
        </is>
      </c>
      <c r="B45" s="414" t="inlineStr">
        <is>
          <t>Ninguno</t>
        </is>
      </c>
      <c r="C45" s="415" t="n"/>
      <c r="D45" s="465" t="n"/>
      <c r="E45" s="301" t="n"/>
      <c r="F45" s="301" t="n"/>
      <c r="G45" s="400" t="inlineStr">
        <is>
          <t>► IMPUESTOS ✏️</t>
        </is>
      </c>
      <c r="K45" s="301" t="n"/>
      <c r="L45" s="301" t="n"/>
    </row>
    <row r="46" ht="15" customHeight="1" s="221">
      <c r="A46" s="401" t="inlineStr">
        <is>
          <t>Solar Préstamo 1</t>
        </is>
      </c>
      <c r="B46" s="401" t="inlineStr">
        <is>
          <t>Ninguno</t>
        </is>
      </c>
      <c r="C46" s="402" t="n"/>
      <c r="D46" s="458" t="n"/>
      <c r="E46" s="301" t="n"/>
      <c r="F46" s="301" t="n"/>
      <c r="G46" s="403" t="inlineStr">
        <is>
          <t>IVA</t>
        </is>
      </c>
      <c r="H46" s="403" t="inlineStr">
        <is>
          <t>Ninguno</t>
        </is>
      </c>
      <c r="I46" s="404" t="n">
        <v>0</v>
      </c>
      <c r="J46" s="459" t="n"/>
      <c r="K46" s="301" t="n"/>
      <c r="L46" s="301" t="n"/>
    </row>
    <row r="47" ht="15" customHeight="1" s="221">
      <c r="A47" s="405" t="inlineStr">
        <is>
          <t>Solar Préstamo 2</t>
        </is>
      </c>
      <c r="B47" s="405" t="inlineStr">
        <is>
          <t>Ninguno</t>
        </is>
      </c>
      <c r="C47" s="406" t="n"/>
      <c r="D47" s="460" t="n"/>
      <c r="E47" s="301" t="n"/>
      <c r="F47" s="301" t="n"/>
      <c r="G47" s="400" t="inlineStr">
        <is>
          <t>► EVENTOS NT ✏️</t>
        </is>
      </c>
      <c r="K47" s="301" t="n"/>
      <c r="L47" s="301" t="n"/>
    </row>
    <row r="48" ht="15" customHeight="1" s="221">
      <c r="A48" s="410" t="inlineStr">
        <is>
          <t>Préstamo Lizzi Sueldos</t>
        </is>
      </c>
      <c r="B48" s="410" t="inlineStr">
        <is>
          <t>Ninguno</t>
        </is>
      </c>
      <c r="C48" s="411" t="n"/>
      <c r="D48" s="463" t="n"/>
      <c r="E48" s="301" t="n"/>
      <c r="F48" s="301" t="n"/>
      <c r="G48" s="403" t="inlineStr">
        <is>
          <t>Día del Niño NT</t>
        </is>
      </c>
      <c r="H48" s="403" t="inlineStr">
        <is>
          <t>Ninguno</t>
        </is>
      </c>
      <c r="I48" s="404" t="n">
        <v>0</v>
      </c>
      <c r="J48" s="459" t="n"/>
      <c r="K48" s="301" t="n"/>
      <c r="L48" s="301" t="n"/>
    </row>
    <row r="49" ht="15" customHeight="1" s="221">
      <c r="A49" s="405" t="inlineStr">
        <is>
          <t>Show Congelador</t>
        </is>
      </c>
      <c r="B49" s="405" t="inlineStr">
        <is>
          <t>Ninguno</t>
        </is>
      </c>
      <c r="C49" s="406" t="n"/>
      <c r="D49" s="460" t="n"/>
      <c r="E49" s="301" t="n"/>
      <c r="F49" s="301" t="n"/>
      <c r="G49" s="407" t="inlineStr">
        <is>
          <t>San Juan NT</t>
        </is>
      </c>
      <c r="H49" s="407" t="inlineStr">
        <is>
          <t>Ninguno</t>
        </is>
      </c>
      <c r="I49" s="408" t="n">
        <v>0</v>
      </c>
      <c r="J49" s="461" t="n"/>
      <c r="K49" s="301" t="n"/>
      <c r="L49" s="301" t="n"/>
    </row>
    <row r="50" ht="15" customHeight="1" s="221">
      <c r="A50" s="410" t="inlineStr">
        <is>
          <t>Olier Heladera</t>
        </is>
      </c>
      <c r="B50" s="410" t="inlineStr">
        <is>
          <t>Ninguno</t>
        </is>
      </c>
      <c r="C50" s="411" t="n"/>
      <c r="D50" s="463" t="n"/>
      <c r="E50" s="301" t="n"/>
      <c r="F50" s="301" t="n"/>
      <c r="G50" s="403" t="inlineStr">
        <is>
          <t>Día del Autismo NT</t>
        </is>
      </c>
      <c r="H50" s="403" t="inlineStr">
        <is>
          <t>Ninguno</t>
        </is>
      </c>
      <c r="I50" s="404" t="n">
        <v>0</v>
      </c>
      <c r="J50" s="459" t="n"/>
      <c r="K50" s="301" t="n"/>
      <c r="L50" s="301" t="n"/>
    </row>
    <row r="51" ht="15" customHeight="1" s="221">
      <c r="A51" s="413" t="inlineStr">
        <is>
          <t>► SUSCRIPCIONES E INTERNET ✏️</t>
        </is>
      </c>
      <c r="B51" s="256" t="n"/>
      <c r="C51" s="256" t="n"/>
      <c r="D51" s="353" t="n"/>
      <c r="E51" s="301" t="n"/>
      <c r="F51" s="301" t="n"/>
      <c r="G51" s="407" t="inlineStr">
        <is>
          <t>Clausura Padres NT</t>
        </is>
      </c>
      <c r="H51" s="407" t="inlineStr">
        <is>
          <t>Ninguno</t>
        </is>
      </c>
      <c r="I51" s="408" t="n">
        <v>0</v>
      </c>
      <c r="J51" s="461" t="n"/>
      <c r="K51" s="301" t="n"/>
      <c r="L51" s="301" t="n"/>
    </row>
    <row r="52" ht="15" customHeight="1" s="221">
      <c r="A52" s="410" t="inlineStr">
        <is>
          <t>Giganet</t>
        </is>
      </c>
      <c r="B52" s="410" t="inlineStr">
        <is>
          <t>Ninguno</t>
        </is>
      </c>
      <c r="C52" s="411" t="n"/>
      <c r="D52" s="463" t="n"/>
      <c r="E52" s="301" t="n"/>
      <c r="F52" s="301" t="n"/>
      <c r="G52" s="403" t="inlineStr">
        <is>
          <t>Navidad Papá Noel NT</t>
        </is>
      </c>
      <c r="H52" s="403" t="inlineStr">
        <is>
          <t>Ninguno</t>
        </is>
      </c>
      <c r="I52" s="404" t="n">
        <v>0</v>
      </c>
      <c r="J52" s="459" t="n"/>
      <c r="K52" s="301" t="n"/>
      <c r="L52" s="301" t="n"/>
    </row>
    <row r="53" ht="15" customHeight="1" s="221">
      <c r="A53" s="405" t="inlineStr">
        <is>
          <t>Tigo Internet/Celulares</t>
        </is>
      </c>
      <c r="B53" s="405" t="inlineStr">
        <is>
          <t>Ninguno</t>
        </is>
      </c>
      <c r="C53" s="406" t="n"/>
      <c r="D53" s="460" t="n"/>
      <c r="E53" s="301" t="n"/>
      <c r="F53" s="301" t="n"/>
      <c r="G53" s="407" t="inlineStr">
        <is>
          <t>Cena Fin de Año NT</t>
        </is>
      </c>
      <c r="H53" s="407" t="inlineStr">
        <is>
          <t>Ninguno</t>
        </is>
      </c>
      <c r="I53" s="408" t="n">
        <v>0</v>
      </c>
      <c r="J53" s="461" t="n"/>
      <c r="K53" s="301" t="n"/>
      <c r="L53" s="301" t="n"/>
    </row>
    <row r="54" ht="15" customHeight="1" s="221">
      <c r="A54" s="410" t="inlineStr">
        <is>
          <t>Tigo Familiar</t>
        </is>
      </c>
      <c r="B54" s="410" t="inlineStr">
        <is>
          <t>Ninguno</t>
        </is>
      </c>
      <c r="C54" s="411" t="n"/>
      <c r="D54" s="463" t="n"/>
      <c r="E54" s="301" t="n"/>
      <c r="F54" s="301" t="n"/>
      <c r="G54" s="400" t="inlineStr">
        <is>
          <t>► GASTOS VARIABLES NT 🔗</t>
        </is>
      </c>
      <c r="K54" s="301" t="n"/>
      <c r="L54" s="301" t="n"/>
    </row>
    <row r="55" ht="15" customHeight="1" s="221">
      <c r="A55" s="405" t="inlineStr">
        <is>
          <t>Google One</t>
        </is>
      </c>
      <c r="B55" s="405" t="inlineStr">
        <is>
          <t>Ninguno</t>
        </is>
      </c>
      <c r="C55" s="406" t="n"/>
      <c r="D55" s="460" t="n"/>
      <c r="E55" s="301" t="n"/>
      <c r="F55" s="301" t="n"/>
      <c r="G55" s="403" t="inlineStr">
        <is>
          <t>Insumos NT</t>
        </is>
      </c>
      <c r="H55" s="403" t="inlineStr">
        <is>
          <t>Ninguno</t>
        </is>
      </c>
      <c r="I55" s="404">
        <f>SUMIFS('Ing-Egr Septiembre 2026'!F4:F103,'Ing-Egr Septiembre 2026'!B4:B103,"Egreso NT",'Ing-Egr Septiembre 2026'!C4:C103,G55)</f>
        <v/>
      </c>
      <c r="J55" s="459" t="n"/>
      <c r="K55" s="301" t="n"/>
      <c r="L55" s="301" t="n"/>
    </row>
    <row r="56" ht="15" customHeight="1" s="221">
      <c r="A56" s="410" t="inlineStr">
        <is>
          <t>ChatGPT</t>
        </is>
      </c>
      <c r="B56" s="410" t="inlineStr">
        <is>
          <t>Ninguno</t>
        </is>
      </c>
      <c r="C56" s="411" t="n"/>
      <c r="D56" s="463" t="n"/>
      <c r="E56" s="301" t="n"/>
      <c r="F56" s="301" t="n"/>
      <c r="G56" s="407" t="inlineStr">
        <is>
          <t>Papelería NT</t>
        </is>
      </c>
      <c r="H56" s="407" t="inlineStr">
        <is>
          <t>Ninguno</t>
        </is>
      </c>
      <c r="I56" s="408">
        <f>SUMIFS('Ing-Egr Septiembre 2026'!F4:F103,'Ing-Egr Septiembre 2026'!B4:B103,"Egreso NT",'Ing-Egr Septiembre 2026'!C4:C103,G56)</f>
        <v/>
      </c>
      <c r="J56" s="461" t="n"/>
      <c r="K56" s="301" t="n"/>
      <c r="L56" s="301" t="n"/>
    </row>
    <row r="57" ht="15" customHeight="1" s="221">
      <c r="A57" s="414" t="inlineStr">
        <is>
          <t>Claude Marco</t>
        </is>
      </c>
      <c r="B57" s="414" t="inlineStr">
        <is>
          <t>Ninguno</t>
        </is>
      </c>
      <c r="C57" s="415" t="n"/>
      <c r="D57" s="465" t="n"/>
      <c r="E57" s="301" t="n"/>
      <c r="F57" s="301" t="n"/>
      <c r="G57" s="403" t="inlineStr">
        <is>
          <t>Mantenimiento NT</t>
        </is>
      </c>
      <c r="H57" s="403" t="inlineStr">
        <is>
          <t>Ninguno</t>
        </is>
      </c>
      <c r="I57" s="404">
        <f>SUMIFS('Ing-Egr Septiembre 2026'!F4:F103,'Ing-Egr Septiembre 2026'!B4:B103,"Egreso NT",'Ing-Egr Septiembre 2026'!C4:C103,G57)</f>
        <v/>
      </c>
      <c r="J57" s="459" t="n"/>
      <c r="K57" s="301" t="n"/>
      <c r="L57" s="301" t="n"/>
    </row>
    <row r="58" ht="15" customHeight="1" s="221">
      <c r="A58" s="401" t="inlineStr">
        <is>
          <t>Claude Clara</t>
        </is>
      </c>
      <c r="B58" s="401" t="inlineStr">
        <is>
          <t>Ninguno</t>
        </is>
      </c>
      <c r="C58" s="402" t="n"/>
      <c r="D58" s="458" t="n"/>
      <c r="E58" s="301" t="n"/>
      <c r="F58" s="301" t="n"/>
      <c r="G58" s="407" t="inlineStr">
        <is>
          <t>Gastos Cursos NT</t>
        </is>
      </c>
      <c r="H58" s="407" t="inlineStr">
        <is>
          <t>Ninguno</t>
        </is>
      </c>
      <c r="I58" s="416">
        <f>SUMIFS('Ing-Egr Septiembre 2026'!F4:F103,'Ing-Egr Septiembre 2026'!B4:B103,"Egreso NT",'Ing-Egr Septiembre 2026'!C4:C103,G58)</f>
        <v/>
      </c>
      <c r="J58" s="461" t="n"/>
      <c r="K58" s="301" t="n"/>
      <c r="L58" s="301" t="n"/>
    </row>
    <row r="59" ht="15" customHeight="1" s="221">
      <c r="A59" s="405" t="inlineStr">
        <is>
          <t>iLovePDF</t>
        </is>
      </c>
      <c r="B59" s="405" t="inlineStr">
        <is>
          <t>Ninguno</t>
        </is>
      </c>
      <c r="C59" s="406" t="n"/>
      <c r="D59" s="460" t="n"/>
      <c r="E59" s="301" t="n"/>
      <c r="F59" s="301" t="n"/>
      <c r="G59" s="403" t="inlineStr">
        <is>
          <t>Gastos Varios NT</t>
        </is>
      </c>
      <c r="H59" s="403" t="inlineStr">
        <is>
          <t>Ninguno</t>
        </is>
      </c>
      <c r="I59" s="417">
        <f>SUMIFS('Ing-Egr Septiembre 2026'!F4:F103,'Ing-Egr Septiembre 2026'!B4:B103,"Egreso NT",'Ing-Egr Septiembre 2026'!C4:C103,G59)</f>
        <v/>
      </c>
      <c r="J59" s="459" t="n"/>
      <c r="K59" s="301" t="n"/>
      <c r="L59" s="301" t="n"/>
    </row>
    <row r="60" ht="15" customHeight="1" s="221">
      <c r="A60" s="410" t="inlineStr">
        <is>
          <t>Scribd</t>
        </is>
      </c>
      <c r="B60" s="410" t="inlineStr">
        <is>
          <t>Ninguno</t>
        </is>
      </c>
      <c r="C60" s="411" t="n"/>
      <c r="D60" s="463" t="n"/>
      <c r="E60" s="301" t="n"/>
      <c r="F60" s="301" t="n"/>
      <c r="G60" s="407" t="inlineStr">
        <is>
          <t>Reserva NT 1</t>
        </is>
      </c>
      <c r="H60" s="407" t="inlineStr">
        <is>
          <t>Ninguno</t>
        </is>
      </c>
      <c r="I60" s="408">
        <f>SUMIFS('Ing-Egr Septiembre 2026'!F4:F103,'Ing-Egr Septiembre 2026'!B4:B103,"Egreso NT",'Ing-Egr Septiembre 2026'!C4:C103,G60)</f>
        <v/>
      </c>
      <c r="J60" s="461" t="n"/>
      <c r="K60" s="301" t="n"/>
      <c r="L60" s="301" t="n"/>
    </row>
    <row r="61" ht="15" customHeight="1" s="221">
      <c r="A61" s="405" t="inlineStr">
        <is>
          <t>Netflix</t>
        </is>
      </c>
      <c r="B61" s="405" t="inlineStr">
        <is>
          <t>Ninguno</t>
        </is>
      </c>
      <c r="C61" s="406" t="n"/>
      <c r="D61" s="460" t="n"/>
      <c r="E61" s="301" t="n"/>
      <c r="F61" s="301" t="n"/>
      <c r="G61" s="403" t="inlineStr">
        <is>
          <t>Reserva NT 2</t>
        </is>
      </c>
      <c r="H61" s="403" t="inlineStr">
        <is>
          <t>Ninguno</t>
        </is>
      </c>
      <c r="I61" s="404">
        <f>SUMIFS('Ing-Egr Septiembre 2026'!F4:F103,'Ing-Egr Septiembre 2026'!B4:B103,"Egreso NT",'Ing-Egr Septiembre 2026'!C4:C103,G61)</f>
        <v/>
      </c>
      <c r="J61" s="459" t="n"/>
      <c r="K61" s="301" t="n"/>
      <c r="L61" s="301" t="n"/>
    </row>
    <row r="62" ht="15" customHeight="1" s="221">
      <c r="A62" s="413" t="inlineStr">
        <is>
          <t>► GASTOS VARIABLES 🔗</t>
        </is>
      </c>
      <c r="B62" s="256" t="n"/>
      <c r="C62" s="256" t="n"/>
      <c r="D62" s="353" t="n"/>
      <c r="E62" s="301" t="n"/>
      <c r="F62" s="301" t="n"/>
      <c r="G62" s="407" t="inlineStr">
        <is>
          <t>Reserva NT 3</t>
        </is>
      </c>
      <c r="H62" s="407" t="inlineStr">
        <is>
          <t>Ninguno</t>
        </is>
      </c>
      <c r="I62" s="408">
        <f>SUMIFS('Ing-Egr Septiembre 2026'!F4:F103,'Ing-Egr Septiembre 2026'!B4:B103,"Egreso NT",'Ing-Egr Septiembre 2026'!C4:C103,G62)</f>
        <v/>
      </c>
      <c r="J62" s="461" t="n"/>
      <c r="K62" s="301" t="n"/>
      <c r="L62" s="301" t="n"/>
    </row>
    <row r="63" ht="15" customHeight="1" s="221">
      <c r="A63" s="410" t="inlineStr">
        <is>
          <t>Combustible</t>
        </is>
      </c>
      <c r="B63" s="410" t="inlineStr">
        <is>
          <t>Ninguno</t>
        </is>
      </c>
      <c r="C63" s="411">
        <f>SUMIFS('Ing-Egr Septiembre 2026'!F4:F103,'Ing-Egr Septiembre 2026'!B4:B103,"Egreso Familiar",'Ing-Egr Septiembre 2026'!C4:C103,A63)</f>
        <v/>
      </c>
      <c r="D63" s="463" t="n"/>
      <c r="E63" s="301" t="n"/>
      <c r="F63" s="301" t="n"/>
      <c r="G63" s="301" t="n"/>
      <c r="H63" s="301" t="n"/>
      <c r="I63" s="301" t="n"/>
      <c r="J63" s="466" t="n"/>
      <c r="K63" s="301" t="n"/>
      <c r="L63" s="301" t="n"/>
    </row>
    <row r="64" ht="15" customHeight="1" s="221">
      <c r="A64" s="405" t="inlineStr">
        <is>
          <t>Supermercado</t>
        </is>
      </c>
      <c r="B64" s="405" t="inlineStr">
        <is>
          <t>Ninguno</t>
        </is>
      </c>
      <c r="C64" s="406">
        <f>SUMIFS('Ing-Egr Septiembre 2026'!F4:F103,'Ing-Egr Septiembre 2026'!B4:B103,"Egreso Familiar",'Ing-Egr Septiembre 2026'!C4:C103,A64)</f>
        <v/>
      </c>
      <c r="D64" s="460" t="n"/>
      <c r="E64" s="301" t="n"/>
      <c r="F64" s="301" t="n"/>
      <c r="G64" s="418" t="inlineStr">
        <is>
          <t>TOTAL NT PAGADOS</t>
        </is>
      </c>
      <c r="I64" s="419">
        <f>SUMIF(H30:H62,"Pagado",I30:I62)</f>
        <v/>
      </c>
      <c r="J64" s="467" t="n"/>
      <c r="K64" s="301" t="n"/>
      <c r="L64" s="301" t="n"/>
    </row>
    <row r="65" ht="15" customHeight="1" s="221">
      <c r="A65" s="410" t="inlineStr">
        <is>
          <t>Farmacia</t>
        </is>
      </c>
      <c r="B65" s="410" t="inlineStr">
        <is>
          <t>Ninguno</t>
        </is>
      </c>
      <c r="C65" s="411">
        <f>SUMIFS('Ing-Egr Septiembre 2026'!F4:F103,'Ing-Egr Septiembre 2026'!B4:B103,"Egreso Familiar",'Ing-Egr Septiembre 2026'!C4:C103,A65)</f>
        <v/>
      </c>
      <c r="D65" s="468">
        <f>C72</f>
        <v/>
      </c>
      <c r="E65" s="301" t="n"/>
      <c r="F65" s="301" t="n"/>
      <c r="G65" s="422" t="inlineStr">
        <is>
          <t>TOTAL NT PENDIENTES</t>
        </is>
      </c>
      <c r="I65" s="423">
        <f>SUMIF(H30:H62,"Pendiente",I30:I62)</f>
        <v/>
      </c>
      <c r="J65" s="469" t="n"/>
      <c r="K65" s="301" t="n"/>
      <c r="L65" s="301" t="n"/>
    </row>
    <row r="66" ht="15" customHeight="1" s="221">
      <c r="A66" s="405" t="inlineStr">
        <is>
          <t>Recreación</t>
        </is>
      </c>
      <c r="B66" s="405" t="inlineStr">
        <is>
          <t>Ninguno</t>
        </is>
      </c>
      <c r="C66" s="406">
        <f>SUMIFS('Ing-Egr Septiembre 2026'!F4:F103,'Ing-Egr Septiembre 2026'!B4:B103,"Egreso Familiar",'Ing-Egr Septiembre 2026'!C4:C103,A66)</f>
        <v/>
      </c>
      <c r="D66" s="470">
        <f>C73</f>
        <v/>
      </c>
      <c r="E66" s="301" t="n"/>
      <c r="F66" s="301" t="n"/>
      <c r="G66" s="301" t="n"/>
      <c r="H66" s="301" t="n"/>
      <c r="I66" s="301" t="n"/>
      <c r="J66" s="466" t="n"/>
      <c r="K66" s="301" t="n"/>
      <c r="L66" s="301" t="n"/>
    </row>
    <row r="67" ht="15" customHeight="1" s="221">
      <c r="A67" s="410" t="inlineStr">
        <is>
          <t>Gastos Varios</t>
        </is>
      </c>
      <c r="B67" s="410" t="inlineStr">
        <is>
          <t>Ninguno</t>
        </is>
      </c>
      <c r="C67" s="411">
        <f>SUMIFS('Ing-Egr Septiembre 2026'!F4:F103,'Ing-Egr Septiembre 2026'!B4:B103,"Egreso Familiar",'Ing-Egr Septiembre 2026'!C4:C103,A67)</f>
        <v/>
      </c>
      <c r="D67" s="463" t="n"/>
      <c r="E67" s="301" t="n"/>
      <c r="F67" s="301" t="n"/>
      <c r="G67" s="386" t="inlineStr">
        <is>
          <t>📊 SALUD FINANCIERA NEUROTEA</t>
        </is>
      </c>
      <c r="L67" s="301" t="n"/>
    </row>
    <row r="68" ht="15" customHeight="1" s="221">
      <c r="A68" s="405" t="inlineStr">
        <is>
          <t>Reserva Fam 1</t>
        </is>
      </c>
      <c r="B68" s="405" t="inlineStr">
        <is>
          <t>Ninguno</t>
        </is>
      </c>
      <c r="C68" s="406">
        <f>SUMIFS('Ing-Egr Septiembre 2026'!F4:F103,'Ing-Egr Septiembre 2026'!B4:B103,"Egreso Familiar",'Ing-Egr Septiembre 2026'!C4:C103,A68)</f>
        <v/>
      </c>
      <c r="D68" s="460" t="n"/>
      <c r="E68" s="301" t="n"/>
      <c r="F68" s="301" t="n"/>
      <c r="G68" s="398" t="inlineStr">
        <is>
          <t>Concepto</t>
        </is>
      </c>
      <c r="H68" s="398" t="inlineStr">
        <is>
          <t>% Ideal</t>
        </is>
      </c>
      <c r="I68" s="426" t="inlineStr">
        <is>
          <t>Monto Ideal</t>
        </is>
      </c>
      <c r="J68" s="471" t="inlineStr">
        <is>
          <t>Monto Real</t>
        </is>
      </c>
      <c r="K68" s="398" t="inlineStr">
        <is>
          <t>Estado</t>
        </is>
      </c>
      <c r="L68" s="301" t="n"/>
    </row>
    <row r="69" ht="15" customHeight="1" s="221">
      <c r="A69" s="410" t="inlineStr">
        <is>
          <t>Reserva Fam 2</t>
        </is>
      </c>
      <c r="B69" s="410" t="inlineStr">
        <is>
          <t>Ninguno</t>
        </is>
      </c>
      <c r="C69" s="411">
        <f>SUMIFS('Ing-Egr Septiembre 2026'!F4:F103,'Ing-Egr Septiembre 2026'!B4:B103,"Egreso Familiar",'Ing-Egr Septiembre 2026'!C4:C103,A69)</f>
        <v/>
      </c>
      <c r="D69" s="463" t="n"/>
      <c r="E69" s="301" t="n"/>
      <c r="F69" s="301" t="n"/>
      <c r="G69" s="301" t="inlineStr">
        <is>
          <t>Gastos Operativos (máx 75%)</t>
        </is>
      </c>
      <c r="H69" s="427" t="n">
        <v>0.75</v>
      </c>
      <c r="I69" s="328">
        <f>J12*0.75</f>
        <v/>
      </c>
      <c r="J69" s="466">
        <f>I64+I65</f>
        <v/>
      </c>
      <c r="K69" s="428">
        <f>IF(J12=0,"-",IF(J69/J12&lt;=0.75,"🟢 OK",IF(J69/J12&lt;=0.9,"🟡 PRECAUCIÓN","🔴 ALARMA")))</f>
        <v/>
      </c>
      <c r="L69" s="301" t="n"/>
    </row>
    <row r="70" ht="15" customHeight="1" s="221">
      <c r="A70" s="414" t="inlineStr">
        <is>
          <t>Reserva Fam 3</t>
        </is>
      </c>
      <c r="B70" s="414" t="inlineStr">
        <is>
          <t>Ninguno</t>
        </is>
      </c>
      <c r="C70" s="415">
        <f>SUMIFS('Ing-Egr Septiembre 2026'!F4:F103,'Ing-Egr Septiembre 2026'!B4:B103,"Egreso Familiar",'Ing-Egr Septiembre 2026'!C4:C103,A70)</f>
        <v/>
      </c>
      <c r="D70" s="465" t="n"/>
      <c r="E70" s="301" t="n"/>
      <c r="F70" s="301" t="n"/>
      <c r="G70" s="301" t="inlineStr">
        <is>
          <t>Ganancia (10%)</t>
        </is>
      </c>
      <c r="H70" s="427" t="n">
        <v>0.1</v>
      </c>
      <c r="I70" s="328">
        <f>J12*0.1</f>
        <v/>
      </c>
      <c r="J70" s="466">
        <f>D22</f>
        <v/>
      </c>
      <c r="K70" s="429">
        <f>IF(J70&gt;=I70,"🟢","🔴")</f>
        <v/>
      </c>
      <c r="L70" s="301" t="n"/>
    </row>
    <row r="71" ht="15" customHeight="1" s="221">
      <c r="A71" s="301" t="n"/>
      <c r="B71" s="301" t="n"/>
      <c r="C71" s="301" t="n"/>
      <c r="D71" s="301" t="n"/>
      <c r="E71" s="301" t="n"/>
      <c r="F71" s="301" t="n"/>
      <c r="G71" s="301" t="inlineStr">
        <is>
          <t>Inversiones (5%)</t>
        </is>
      </c>
      <c r="H71" s="427" t="n">
        <v>0.05</v>
      </c>
      <c r="I71" s="328">
        <f>J12*0.05</f>
        <v/>
      </c>
      <c r="J71" s="328" t="n">
        <v>0</v>
      </c>
      <c r="K71" s="429">
        <f>IF(J71&gt;=I71,"🟢","🔴")</f>
        <v/>
      </c>
      <c r="L71" s="301" t="n"/>
    </row>
    <row r="72" ht="15" customHeight="1" s="221">
      <c r="A72" s="430" t="inlineStr">
        <is>
          <t>TOTAL FAM. PAGADOS</t>
        </is>
      </c>
      <c r="B72" s="353" t="n"/>
      <c r="C72" s="431">
        <f>SUMIF(B30:B70,"Pagado",C30:C70)</f>
        <v/>
      </c>
      <c r="D72" s="432" t="n"/>
      <c r="E72" s="301" t="n"/>
      <c r="F72" s="301" t="n"/>
      <c r="G72" s="301" t="inlineStr">
        <is>
          <t>Imprevistos (5%)</t>
        </is>
      </c>
      <c r="H72" s="427" t="n">
        <v>0.05</v>
      </c>
      <c r="I72" s="328">
        <f>J12*0.05</f>
        <v/>
      </c>
      <c r="J72" s="328" t="n">
        <v>0</v>
      </c>
      <c r="K72" s="429">
        <f>IF(J72&gt;=I72,"🟢","🔴")</f>
        <v/>
      </c>
      <c r="L72" s="301" t="n"/>
    </row>
    <row r="73" ht="15" customHeight="1" s="221">
      <c r="A73" s="433" t="inlineStr">
        <is>
          <t>TOTAL FAM. PENDIENTES</t>
        </is>
      </c>
      <c r="B73" s="353" t="n"/>
      <c r="C73" s="434">
        <f>SUMIF(B30:B70,"Pendiente",C30:C70)</f>
        <v/>
      </c>
      <c r="D73" s="435" t="n"/>
      <c r="E73" s="301" t="n"/>
      <c r="F73" s="301" t="n"/>
      <c r="G73" s="301" t="inlineStr">
        <is>
          <t>Desvío Imprevisto (5%)</t>
        </is>
      </c>
      <c r="H73" s="427" t="n">
        <v>0.05</v>
      </c>
      <c r="I73" s="328">
        <f>J12*0.05</f>
        <v/>
      </c>
      <c r="J73" s="328" t="n">
        <v>0</v>
      </c>
      <c r="K73" s="429">
        <f>IF(J73&gt;=I73,"🟢","🔴")</f>
        <v/>
      </c>
      <c r="L73" s="301" t="n"/>
    </row>
    <row r="74" ht="15" customHeight="1" s="221">
      <c r="A74" s="354" t="n"/>
      <c r="B74" s="354" t="n"/>
      <c r="C74" s="359" t="n"/>
      <c r="D74" s="360" t="n"/>
      <c r="E74" s="301" t="n"/>
      <c r="F74" s="301" t="n"/>
      <c r="G74" s="223" t="inlineStr">
        <is>
          <t>TOTAL</t>
        </is>
      </c>
      <c r="H74" s="436">
        <f>SUM(H69:H73)</f>
        <v/>
      </c>
      <c r="I74" s="437">
        <f>SUM(I69:I73)</f>
        <v/>
      </c>
      <c r="J74" s="437">
        <f>SUM(J69:J73)</f>
        <v/>
      </c>
      <c r="K74" s="301" t="n"/>
      <c r="L74" s="301" t="n"/>
    </row>
    <row r="75" ht="15" customHeight="1" s="221">
      <c r="A75" s="354" t="n"/>
      <c r="B75" s="354" t="n"/>
      <c r="C75" s="359" t="n"/>
      <c r="D75" s="360" t="n"/>
      <c r="E75" s="301" t="n"/>
      <c r="F75" s="301" t="n"/>
      <c r="G75" s="301" t="n"/>
      <c r="H75" s="301" t="n"/>
      <c r="I75" s="301" t="n"/>
      <c r="J75" s="301" t="n"/>
      <c r="K75" s="301" t="n"/>
      <c r="L75" s="301" t="n"/>
    </row>
    <row r="76" ht="15" customHeight="1" s="221">
      <c r="A76" s="354" t="n"/>
      <c r="B76" s="354" t="n"/>
      <c r="C76" s="359" t="n"/>
      <c r="D76" s="360" t="n"/>
      <c r="E76" s="301" t="n"/>
      <c r="F76" s="301" t="n"/>
      <c r="G76" s="223" t="inlineStr">
        <is>
          <t>% GASTOS SOBRE INGRESO:</t>
        </is>
      </c>
      <c r="H76" s="301" t="n"/>
      <c r="I76" s="301" t="n"/>
      <c r="J76" s="438">
        <f>IF(J12=0,0,J69/J12)</f>
        <v/>
      </c>
      <c r="K76" s="301" t="n"/>
      <c r="L76" s="301" t="n"/>
    </row>
    <row r="77" ht="15" customHeight="1" s="221">
      <c r="A77" s="354" t="n"/>
      <c r="B77" s="354" t="n"/>
      <c r="C77" s="359" t="n"/>
      <c r="D77" s="360" t="n"/>
      <c r="E77" s="301" t="n"/>
      <c r="F77" s="301" t="n"/>
      <c r="G77" s="223" t="inlineStr">
        <is>
          <t>DIAGNÓSTICO:</t>
        </is>
      </c>
      <c r="H77" s="301" t="n"/>
      <c r="I77" s="301" t="n"/>
      <c r="J77" s="439">
        <f>IF(J12=0,"Sin datos",IF(J69/J12&lt;=0.75,"🟢 CLÍNICA SANA",IF(J69/J12&lt;=0.9,"🟡 REVISAR GASTOS","🔴 SITUACIÓN CRÍTICA")))</f>
        <v/>
      </c>
      <c r="L77" s="301" t="n"/>
    </row>
    <row r="78" ht="15" customHeight="1" s="221">
      <c r="A78" s="354" t="n"/>
      <c r="B78" s="354" t="n"/>
      <c r="C78" s="359" t="n"/>
      <c r="D78" s="360" t="n"/>
      <c r="E78" s="301" t="n"/>
      <c r="F78" s="301" t="n"/>
      <c r="G78" s="301" t="n"/>
      <c r="H78" s="301" t="n"/>
      <c r="I78" s="301" t="n"/>
      <c r="J78" s="301" t="n"/>
      <c r="K78" s="301" t="n"/>
      <c r="L78" s="301" t="n"/>
    </row>
    <row r="79" ht="15" customHeight="1" s="221">
      <c r="A79" s="354" t="n"/>
      <c r="B79" s="354" t="n"/>
      <c r="C79" s="359" t="n"/>
      <c r="D79" s="360" t="n"/>
      <c r="E79" s="301" t="n"/>
      <c r="F79" s="301" t="n"/>
      <c r="G79" s="301" t="n"/>
      <c r="H79" s="301" t="n"/>
      <c r="I79" s="301" t="n"/>
      <c r="J79" s="301" t="n"/>
      <c r="K79" s="301" t="n"/>
      <c r="L79" s="301" t="n"/>
    </row>
    <row r="80" ht="15" customHeight="1" s="221">
      <c r="A80" s="301" t="n"/>
      <c r="B80" s="301" t="n"/>
      <c r="C80" s="328" t="n"/>
      <c r="D80" s="301" t="n"/>
      <c r="E80" s="301" t="n"/>
      <c r="F80" s="301" t="n"/>
      <c r="G80" s="301" t="n"/>
      <c r="H80" s="301" t="n"/>
      <c r="I80" s="301" t="n"/>
      <c r="J80" s="301" t="n"/>
      <c r="K80" s="301" t="n"/>
      <c r="L80" s="301" t="n"/>
    </row>
    <row r="81" ht="15.75" customHeight="1" s="221">
      <c r="A81" s="301" t="n"/>
      <c r="B81" s="301" t="n"/>
      <c r="C81" s="328" t="n"/>
      <c r="D81" s="301" t="n"/>
      <c r="E81" s="301" t="n"/>
      <c r="F81" s="301" t="n"/>
      <c r="G81" s="301" t="n"/>
      <c r="H81" s="301" t="n"/>
      <c r="I81" s="301" t="n"/>
      <c r="J81" s="301" t="n"/>
      <c r="K81" s="301" t="n"/>
      <c r="L81" s="301" t="n"/>
    </row>
    <row r="82" ht="15.75" customHeight="1" s="221">
      <c r="A82" s="301" t="n"/>
      <c r="B82" s="301" t="n"/>
      <c r="C82" s="328" t="n"/>
      <c r="D82" s="301" t="n"/>
      <c r="E82" s="301" t="n"/>
      <c r="F82" s="301" t="n"/>
      <c r="G82" s="301" t="n"/>
      <c r="H82" s="301" t="n"/>
      <c r="I82" s="301" t="n"/>
      <c r="J82" s="301" t="n"/>
      <c r="K82" s="301" t="n"/>
      <c r="L82" s="301" t="n"/>
    </row>
    <row r="83" ht="15" customHeight="1" s="221">
      <c r="A83" s="301" t="n"/>
      <c r="B83" s="301" t="n"/>
      <c r="C83" s="301" t="n"/>
      <c r="D83" s="301" t="n"/>
      <c r="E83" s="301" t="n"/>
      <c r="F83" s="301" t="n"/>
      <c r="G83" s="301" t="n"/>
      <c r="H83" s="301" t="n"/>
      <c r="I83" s="301" t="n"/>
      <c r="J83" s="301" t="n"/>
      <c r="K83" s="301" t="n"/>
      <c r="L83" s="301" t="n"/>
    </row>
    <row r="84" ht="15" customHeight="1" s="221">
      <c r="A84" s="301" t="n"/>
      <c r="B84" s="301" t="n"/>
      <c r="C84" s="301" t="n"/>
      <c r="D84" s="301" t="n"/>
      <c r="E84" s="301" t="n"/>
      <c r="F84" s="301" t="n"/>
      <c r="G84" s="301" t="n"/>
      <c r="H84" s="301" t="n"/>
      <c r="I84" s="301" t="n"/>
      <c r="J84" s="301" t="n"/>
      <c r="K84" s="301" t="n"/>
      <c r="L84" s="301" t="n"/>
    </row>
    <row r="85" ht="15" customHeight="1" s="221">
      <c r="A85" s="354" t="n"/>
      <c r="B85" s="354" t="n"/>
      <c r="C85" s="354" t="n"/>
      <c r="D85" s="354" t="n"/>
      <c r="E85" s="301" t="n"/>
      <c r="F85" s="301" t="n"/>
      <c r="G85" s="301" t="n"/>
      <c r="H85" s="301" t="n"/>
      <c r="I85" s="301" t="n"/>
      <c r="J85" s="301" t="n"/>
      <c r="K85" s="301" t="n"/>
      <c r="L85" s="301" t="n"/>
    </row>
    <row r="86" ht="15" customHeight="1" s="221">
      <c r="A86" s="301" t="n"/>
      <c r="B86" s="301" t="n"/>
      <c r="C86" s="301" t="n"/>
      <c r="D86" s="301" t="n"/>
      <c r="E86" s="301" t="n"/>
      <c r="F86" s="301" t="n"/>
      <c r="G86" s="301" t="n"/>
      <c r="H86" s="301" t="n"/>
      <c r="I86" s="301" t="n"/>
      <c r="J86" s="301" t="n"/>
      <c r="K86" s="301" t="n"/>
      <c r="L86" s="301" t="n"/>
    </row>
    <row r="87" ht="15" customHeight="1" s="221">
      <c r="A87" s="354" t="n"/>
      <c r="B87" s="354" t="n"/>
      <c r="C87" s="359" t="n"/>
      <c r="D87" s="360" t="n"/>
      <c r="E87" s="301" t="n"/>
      <c r="F87" s="301" t="n"/>
      <c r="G87" s="301" t="n"/>
      <c r="H87" s="301" t="n"/>
      <c r="I87" s="301" t="n"/>
      <c r="J87" s="301" t="n"/>
      <c r="K87" s="301" t="n"/>
      <c r="L87" s="301" t="n"/>
    </row>
    <row r="88" ht="15" customHeight="1" s="221">
      <c r="A88" s="354" t="n"/>
      <c r="B88" s="354" t="n"/>
      <c r="C88" s="359" t="n"/>
      <c r="D88" s="360" t="n"/>
      <c r="E88" s="301" t="n"/>
      <c r="F88" s="301" t="n"/>
      <c r="G88" s="301" t="n"/>
      <c r="H88" s="301" t="n"/>
      <c r="I88" s="301" t="n"/>
      <c r="J88" s="301" t="n"/>
      <c r="K88" s="301" t="n"/>
      <c r="L88" s="301" t="n"/>
    </row>
    <row r="89" ht="15" customHeight="1" s="221">
      <c r="A89" s="354" t="n"/>
      <c r="B89" s="354" t="n"/>
      <c r="C89" s="359" t="n"/>
      <c r="D89" s="360" t="n"/>
      <c r="E89" s="301" t="n"/>
      <c r="F89" s="301" t="n"/>
      <c r="G89" s="301" t="n"/>
      <c r="H89" s="301" t="n"/>
      <c r="I89" s="301" t="n"/>
      <c r="J89" s="301" t="n"/>
      <c r="K89" s="301" t="n"/>
      <c r="L89" s="301" t="n"/>
    </row>
    <row r="90" ht="15" customHeight="1" s="221">
      <c r="A90" s="354" t="n"/>
      <c r="B90" s="354" t="n"/>
      <c r="C90" s="359" t="n"/>
      <c r="D90" s="360" t="n"/>
      <c r="E90" s="301" t="n"/>
      <c r="F90" s="301" t="n"/>
      <c r="G90" s="301" t="n"/>
      <c r="H90" s="301" t="n"/>
      <c r="I90" s="301" t="n"/>
      <c r="J90" s="301" t="n"/>
      <c r="K90" s="301" t="n"/>
      <c r="L90" s="301" t="n"/>
    </row>
    <row r="91" ht="15" customHeight="1" s="221">
      <c r="A91" s="301" t="n"/>
      <c r="B91" s="301" t="n"/>
      <c r="C91" s="328" t="n"/>
      <c r="D91" s="301" t="n"/>
      <c r="E91" s="301" t="n"/>
      <c r="F91" s="301" t="n"/>
      <c r="G91" s="301" t="n"/>
      <c r="H91" s="301" t="n"/>
      <c r="I91" s="301" t="n"/>
      <c r="J91" s="301" t="n"/>
      <c r="K91" s="301" t="n"/>
      <c r="L91" s="301" t="n"/>
    </row>
    <row r="92" ht="15" customHeight="1" s="221">
      <c r="A92" s="301" t="n"/>
      <c r="B92" s="301" t="n"/>
      <c r="C92" s="301" t="n"/>
      <c r="D92" s="301" t="n"/>
      <c r="E92" s="301" t="n"/>
      <c r="F92" s="301" t="n"/>
      <c r="G92" s="301" t="n"/>
      <c r="H92" s="301" t="n"/>
      <c r="I92" s="301" t="n"/>
      <c r="J92" s="301" t="n"/>
      <c r="K92" s="301" t="n"/>
      <c r="L92" s="301" t="n"/>
    </row>
    <row r="93" ht="15" customHeight="1" s="221">
      <c r="A93" s="354" t="n"/>
      <c r="B93" s="354" t="n"/>
      <c r="C93" s="359" t="n"/>
      <c r="D93" s="360" t="n"/>
      <c r="E93" s="301" t="n"/>
      <c r="F93" s="301" t="n"/>
      <c r="G93" s="301" t="n"/>
      <c r="H93" s="301" t="n"/>
      <c r="I93" s="301" t="n"/>
      <c r="J93" s="301" t="n"/>
      <c r="K93" s="301" t="n"/>
      <c r="L93" s="301" t="n"/>
    </row>
    <row r="94" ht="15" customHeight="1" s="221">
      <c r="A94" s="354" t="n"/>
      <c r="B94" s="354" t="n"/>
      <c r="C94" s="359" t="n"/>
      <c r="D94" s="360" t="n"/>
      <c r="E94" s="301" t="n"/>
      <c r="F94" s="301" t="n"/>
      <c r="G94" s="301" t="n"/>
      <c r="H94" s="301" t="n"/>
      <c r="I94" s="301" t="n"/>
      <c r="J94" s="301" t="n"/>
      <c r="K94" s="301" t="n"/>
      <c r="L94" s="301" t="n"/>
    </row>
    <row r="95" ht="15" customHeight="1" s="221">
      <c r="A95" s="354" t="n"/>
      <c r="B95" s="354" t="n"/>
      <c r="C95" s="359" t="n"/>
      <c r="D95" s="360" t="n"/>
      <c r="E95" s="301" t="n"/>
      <c r="F95" s="301" t="n"/>
      <c r="G95" s="301" t="n"/>
      <c r="H95" s="301" t="n"/>
      <c r="I95" s="301" t="n"/>
      <c r="J95" s="301" t="n"/>
      <c r="K95" s="301" t="n"/>
      <c r="L95" s="301" t="n"/>
    </row>
    <row r="96" ht="15" customHeight="1" s="221">
      <c r="A96" s="354" t="n"/>
      <c r="B96" s="354" t="n"/>
      <c r="C96" s="359" t="n"/>
      <c r="D96" s="360" t="n"/>
      <c r="E96" s="301" t="n"/>
      <c r="F96" s="301" t="n"/>
      <c r="G96" s="301" t="n"/>
      <c r="H96" s="301" t="n"/>
      <c r="I96" s="301" t="n"/>
      <c r="J96" s="301" t="n"/>
      <c r="K96" s="301" t="n"/>
      <c r="L96" s="301" t="n"/>
    </row>
    <row r="97" ht="15" customHeight="1" s="221">
      <c r="A97" s="354" t="n"/>
      <c r="B97" s="354" t="n"/>
      <c r="C97" s="359" t="n"/>
      <c r="D97" s="360" t="n"/>
      <c r="E97" s="301" t="n"/>
      <c r="F97" s="301" t="n"/>
      <c r="G97" s="301" t="n"/>
      <c r="H97" s="301" t="n"/>
      <c r="I97" s="301" t="n"/>
      <c r="J97" s="301" t="n"/>
      <c r="K97" s="301" t="n"/>
      <c r="L97" s="301" t="n"/>
    </row>
    <row r="98" ht="15" customHeight="1" s="221">
      <c r="A98" s="354" t="n"/>
      <c r="B98" s="354" t="n"/>
      <c r="C98" s="359" t="n"/>
      <c r="D98" s="360" t="n"/>
      <c r="E98" s="301" t="n"/>
      <c r="F98" s="301" t="n"/>
      <c r="G98" s="301" t="n"/>
      <c r="H98" s="301" t="n"/>
      <c r="I98" s="301" t="n"/>
      <c r="J98" s="301" t="n"/>
      <c r="K98" s="301" t="n"/>
      <c r="L98" s="301" t="n"/>
    </row>
    <row r="99" ht="15" customHeight="1" s="221">
      <c r="A99" s="301" t="n"/>
      <c r="B99" s="301" t="n"/>
      <c r="C99" s="328" t="n"/>
      <c r="D99" s="301" t="n"/>
      <c r="E99" s="301" t="n"/>
      <c r="F99" s="301" t="n"/>
      <c r="G99" s="301" t="n"/>
      <c r="H99" s="301" t="n"/>
      <c r="I99" s="301" t="n"/>
      <c r="J99" s="301" t="n"/>
      <c r="K99" s="301" t="n"/>
      <c r="L99" s="301" t="n"/>
    </row>
    <row r="100" ht="15" customHeight="1" s="221">
      <c r="A100" s="301" t="n"/>
      <c r="B100" s="301" t="n"/>
      <c r="C100" s="301" t="n"/>
      <c r="D100" s="301" t="n"/>
      <c r="E100" s="301" t="n"/>
      <c r="F100" s="301" t="n"/>
      <c r="G100" s="301" t="n"/>
      <c r="H100" s="301" t="n"/>
      <c r="I100" s="301" t="n"/>
      <c r="J100" s="301" t="n"/>
      <c r="K100" s="301" t="n"/>
      <c r="L100" s="301" t="n"/>
    </row>
    <row r="101" ht="15" customHeight="1" s="221">
      <c r="A101" s="354" t="n"/>
      <c r="B101" s="354" t="n"/>
      <c r="C101" s="359" t="n"/>
      <c r="D101" s="360" t="n"/>
      <c r="E101" s="301" t="n"/>
      <c r="F101" s="301" t="n"/>
      <c r="G101" s="301" t="n"/>
      <c r="H101" s="301" t="n"/>
      <c r="I101" s="301" t="n"/>
      <c r="J101" s="301" t="n"/>
      <c r="K101" s="301" t="n"/>
      <c r="L101" s="301" t="n"/>
    </row>
    <row r="102" ht="15" customHeight="1" s="221">
      <c r="A102" s="354" t="n"/>
      <c r="B102" s="354" t="n"/>
      <c r="C102" s="359" t="n"/>
      <c r="D102" s="360" t="n"/>
      <c r="E102" s="301" t="n"/>
      <c r="F102" s="301" t="n"/>
      <c r="G102" s="301" t="n"/>
      <c r="H102" s="301" t="n"/>
      <c r="I102" s="301" t="n"/>
      <c r="J102" s="301" t="n"/>
      <c r="K102" s="301" t="n"/>
      <c r="L102" s="301" t="n"/>
    </row>
    <row r="103" ht="15" customHeight="1" s="221">
      <c r="A103" s="354" t="n"/>
      <c r="B103" s="354" t="n"/>
      <c r="C103" s="359" t="n"/>
      <c r="D103" s="360" t="n"/>
      <c r="E103" s="301" t="n"/>
      <c r="F103" s="301" t="n"/>
      <c r="G103" s="301" t="n"/>
      <c r="H103" s="301" t="n"/>
      <c r="I103" s="301" t="n"/>
      <c r="J103" s="301" t="n"/>
      <c r="K103" s="301" t="n"/>
      <c r="L103" s="301" t="n"/>
    </row>
    <row r="104" ht="15" customHeight="1" s="221">
      <c r="A104" s="354" t="n"/>
      <c r="B104" s="354" t="n"/>
      <c r="C104" s="359" t="n"/>
      <c r="D104" s="360" t="n"/>
      <c r="E104" s="301" t="n"/>
      <c r="F104" s="301" t="n"/>
      <c r="G104" s="301" t="n"/>
      <c r="H104" s="301" t="n"/>
      <c r="I104" s="301" t="n"/>
      <c r="J104" s="301" t="n"/>
      <c r="K104" s="301" t="n"/>
      <c r="L104" s="301" t="n"/>
    </row>
    <row r="105" ht="15" customHeight="1" s="221">
      <c r="A105" s="354" t="n"/>
      <c r="B105" s="354" t="n"/>
      <c r="C105" s="359" t="n"/>
      <c r="D105" s="360" t="n"/>
      <c r="E105" s="301" t="n"/>
      <c r="F105" s="301" t="n"/>
      <c r="G105" s="301" t="n"/>
      <c r="H105" s="301" t="n"/>
      <c r="I105" s="301" t="n"/>
      <c r="J105" s="301" t="n"/>
      <c r="K105" s="301" t="n"/>
      <c r="L105" s="301" t="n"/>
    </row>
    <row r="106" ht="15" customHeight="1" s="221">
      <c r="A106" s="301" t="n"/>
      <c r="B106" s="301" t="n"/>
      <c r="C106" s="328" t="n"/>
      <c r="D106" s="301" t="n"/>
      <c r="E106" s="301" t="n"/>
      <c r="F106" s="301" t="n"/>
      <c r="G106" s="301" t="n"/>
      <c r="H106" s="301" t="n"/>
      <c r="I106" s="301" t="n"/>
      <c r="J106" s="301" t="n"/>
      <c r="K106" s="301" t="n"/>
      <c r="L106" s="301" t="n"/>
    </row>
    <row r="107" ht="15" customHeight="1" s="221">
      <c r="A107" s="301" t="n"/>
      <c r="B107" s="301" t="n"/>
      <c r="C107" s="301" t="n"/>
      <c r="D107" s="301" t="n"/>
      <c r="E107" s="301" t="n"/>
      <c r="F107" s="301" t="n"/>
      <c r="G107" s="301" t="n"/>
      <c r="H107" s="301" t="n"/>
      <c r="I107" s="301" t="n"/>
      <c r="J107" s="301" t="n"/>
      <c r="K107" s="301" t="n"/>
      <c r="L107" s="301" t="n"/>
    </row>
    <row r="108" ht="15" customHeight="1" s="221">
      <c r="A108" s="354" t="n"/>
      <c r="B108" s="354" t="n"/>
      <c r="C108" s="359" t="n"/>
      <c r="D108" s="360" t="n"/>
      <c r="E108" s="301" t="n"/>
      <c r="F108" s="301" t="n"/>
      <c r="G108" s="301" t="n"/>
      <c r="H108" s="301" t="n"/>
      <c r="I108" s="301" t="n"/>
      <c r="J108" s="301" t="n"/>
      <c r="K108" s="301" t="n"/>
      <c r="L108" s="301" t="n"/>
    </row>
    <row r="109" ht="15" customHeight="1" s="221">
      <c r="A109" s="354" t="n"/>
      <c r="B109" s="354" t="n"/>
      <c r="C109" s="359" t="n"/>
      <c r="D109" s="360" t="n"/>
      <c r="E109" s="301" t="n"/>
      <c r="F109" s="301" t="n"/>
      <c r="G109" s="301" t="n"/>
      <c r="H109" s="301" t="n"/>
      <c r="I109" s="301" t="n"/>
      <c r="J109" s="301" t="n"/>
      <c r="K109" s="301" t="n"/>
      <c r="L109" s="301" t="n"/>
    </row>
    <row r="110" ht="15" customHeight="1" s="221">
      <c r="A110" s="301" t="n"/>
      <c r="B110" s="301" t="n"/>
      <c r="C110" s="328" t="n"/>
      <c r="D110" s="301" t="n"/>
      <c r="E110" s="301" t="n"/>
      <c r="F110" s="301" t="n"/>
      <c r="G110" s="301" t="n"/>
      <c r="H110" s="301" t="n"/>
      <c r="I110" s="301" t="n"/>
      <c r="J110" s="301" t="n"/>
      <c r="K110" s="301" t="n"/>
      <c r="L110" s="301" t="n"/>
    </row>
    <row r="111" ht="15" customHeight="1" s="221">
      <c r="A111" s="301" t="n"/>
      <c r="B111" s="301" t="n"/>
      <c r="C111" s="301" t="n"/>
      <c r="D111" s="301" t="n"/>
      <c r="E111" s="301" t="n"/>
      <c r="F111" s="301" t="n"/>
      <c r="G111" s="301" t="n"/>
      <c r="H111" s="301" t="n"/>
      <c r="I111" s="301" t="n"/>
      <c r="J111" s="301" t="n"/>
      <c r="K111" s="301" t="n"/>
      <c r="L111" s="301" t="n"/>
    </row>
    <row r="112" ht="15" customHeight="1" s="221">
      <c r="A112" s="354" t="n"/>
      <c r="B112" s="354" t="n"/>
      <c r="C112" s="359" t="n"/>
      <c r="D112" s="360" t="n"/>
      <c r="E112" s="301" t="n"/>
      <c r="F112" s="301" t="n"/>
      <c r="G112" s="301" t="n"/>
      <c r="H112" s="301" t="n"/>
      <c r="I112" s="301" t="n"/>
      <c r="J112" s="301" t="n"/>
      <c r="K112" s="301" t="n"/>
      <c r="L112" s="301" t="n"/>
    </row>
    <row r="113" ht="15" customHeight="1" s="221">
      <c r="A113" s="354" t="n"/>
      <c r="B113" s="354" t="n"/>
      <c r="C113" s="359" t="n"/>
      <c r="D113" s="360" t="n"/>
      <c r="E113" s="301" t="n"/>
      <c r="F113" s="301" t="n"/>
      <c r="G113" s="301" t="n"/>
      <c r="H113" s="301" t="n"/>
      <c r="I113" s="301" t="n"/>
      <c r="J113" s="301" t="n"/>
      <c r="K113" s="301" t="n"/>
      <c r="L113" s="301" t="n"/>
    </row>
    <row r="114" ht="15" customHeight="1" s="221">
      <c r="A114" s="354" t="n"/>
      <c r="B114" s="354" t="n"/>
      <c r="C114" s="359" t="n"/>
      <c r="D114" s="360" t="n"/>
      <c r="E114" s="301" t="n"/>
      <c r="F114" s="301" t="n"/>
      <c r="G114" s="301" t="n"/>
      <c r="H114" s="301" t="n"/>
      <c r="I114" s="301" t="n"/>
      <c r="J114" s="301" t="n"/>
      <c r="K114" s="301" t="n"/>
      <c r="L114" s="301" t="n"/>
    </row>
    <row r="115" ht="15" customHeight="1" s="221">
      <c r="A115" s="354" t="n"/>
      <c r="B115" s="354" t="n"/>
      <c r="C115" s="359" t="n"/>
      <c r="D115" s="360" t="n"/>
      <c r="E115" s="301" t="n"/>
      <c r="F115" s="301" t="n"/>
      <c r="G115" s="301" t="n"/>
      <c r="H115" s="301" t="n"/>
      <c r="I115" s="301" t="n"/>
      <c r="J115" s="301" t="n"/>
      <c r="K115" s="301" t="n"/>
      <c r="L115" s="301" t="n"/>
    </row>
    <row r="116" ht="15" customHeight="1" s="221">
      <c r="A116" s="354" t="n"/>
      <c r="B116" s="354" t="n"/>
      <c r="C116" s="359" t="n"/>
      <c r="D116" s="360" t="n"/>
      <c r="E116" s="301" t="n"/>
      <c r="F116" s="301" t="n"/>
      <c r="G116" s="301" t="n"/>
      <c r="H116" s="301" t="n"/>
      <c r="I116" s="301" t="n"/>
      <c r="J116" s="301" t="n"/>
      <c r="K116" s="301" t="n"/>
      <c r="L116" s="301" t="n"/>
    </row>
    <row r="117" ht="15" customHeight="1" s="221">
      <c r="A117" s="354" t="n"/>
      <c r="B117" s="354" t="n"/>
      <c r="C117" s="359" t="n"/>
      <c r="D117" s="360" t="n"/>
      <c r="E117" s="301" t="n"/>
      <c r="F117" s="301" t="n"/>
      <c r="G117" s="301" t="n"/>
      <c r="H117" s="301" t="n"/>
      <c r="I117" s="301" t="n"/>
      <c r="J117" s="301" t="n"/>
      <c r="K117" s="301" t="n"/>
      <c r="L117" s="301" t="n"/>
    </row>
    <row r="118" ht="15" customHeight="1" s="221">
      <c r="A118" s="354" t="n"/>
      <c r="B118" s="354" t="n"/>
      <c r="C118" s="359" t="n"/>
      <c r="D118" s="360" t="n"/>
      <c r="E118" s="301" t="n"/>
      <c r="F118" s="301" t="n"/>
      <c r="G118" s="301" t="n"/>
      <c r="H118" s="301" t="n"/>
      <c r="I118" s="301" t="n"/>
      <c r="J118" s="301" t="n"/>
      <c r="K118" s="301" t="n"/>
      <c r="L118" s="301" t="n"/>
    </row>
    <row r="119" ht="15" customHeight="1" s="221">
      <c r="A119" s="354" t="n"/>
      <c r="B119" s="354" t="n"/>
      <c r="C119" s="359" t="n"/>
      <c r="D119" s="360" t="n"/>
      <c r="E119" s="301" t="n"/>
      <c r="F119" s="301" t="n"/>
      <c r="G119" s="301" t="n"/>
      <c r="H119" s="301" t="n"/>
      <c r="I119" s="301" t="n"/>
      <c r="J119" s="301" t="n"/>
      <c r="K119" s="301" t="n"/>
      <c r="L119" s="301" t="n"/>
    </row>
    <row r="120" ht="15" customHeight="1" s="221">
      <c r="A120" s="354" t="n"/>
      <c r="B120" s="354" t="n"/>
      <c r="C120" s="359" t="n"/>
      <c r="D120" s="360" t="n"/>
      <c r="E120" s="301" t="n"/>
      <c r="F120" s="301" t="n"/>
      <c r="G120" s="301" t="n"/>
      <c r="H120" s="301" t="n"/>
      <c r="I120" s="301" t="n"/>
      <c r="J120" s="301" t="n"/>
      <c r="K120" s="301" t="n"/>
      <c r="L120" s="301" t="n"/>
    </row>
    <row r="121" ht="15" customHeight="1" s="221">
      <c r="A121" s="301" t="n"/>
      <c r="B121" s="301" t="n"/>
      <c r="C121" s="328" t="n"/>
      <c r="D121" s="301" t="n"/>
      <c r="E121" s="301" t="n"/>
      <c r="F121" s="301" t="n"/>
      <c r="G121" s="301" t="n"/>
      <c r="H121" s="301" t="n"/>
      <c r="I121" s="301" t="n"/>
      <c r="J121" s="301" t="n"/>
      <c r="K121" s="301" t="n"/>
      <c r="L121" s="301" t="n"/>
    </row>
    <row r="122" ht="15.75" customHeight="1" s="221">
      <c r="A122" s="301" t="n"/>
      <c r="B122" s="301" t="n"/>
      <c r="C122" s="328" t="n"/>
      <c r="D122" s="301" t="n"/>
      <c r="E122" s="301" t="n"/>
      <c r="F122" s="301" t="n"/>
      <c r="G122" s="301" t="n"/>
      <c r="H122" s="301" t="n"/>
      <c r="I122" s="301" t="n"/>
      <c r="J122" s="301" t="n"/>
      <c r="K122" s="301" t="n"/>
      <c r="L122" s="301" t="n"/>
    </row>
    <row r="123" ht="15.75" customHeight="1" s="221">
      <c r="A123" s="301" t="n"/>
      <c r="B123" s="301" t="n"/>
      <c r="C123" s="328" t="n"/>
      <c r="D123" s="301" t="n"/>
      <c r="E123" s="301" t="n"/>
      <c r="F123" s="301" t="n"/>
      <c r="G123" s="301" t="n"/>
      <c r="H123" s="301" t="n"/>
      <c r="I123" s="301" t="n"/>
      <c r="J123" s="301" t="n"/>
      <c r="K123" s="301" t="n"/>
      <c r="L123" s="301" t="n"/>
    </row>
    <row r="124" ht="15" customHeight="1" s="221">
      <c r="A124" s="301" t="n"/>
      <c r="B124" s="301" t="n"/>
      <c r="C124" s="301" t="n"/>
      <c r="D124" s="301" t="n"/>
      <c r="E124" s="301" t="n"/>
      <c r="F124" s="301" t="n"/>
      <c r="G124" s="301" t="n"/>
      <c r="H124" s="301" t="n"/>
      <c r="I124" s="301" t="n"/>
      <c r="J124" s="301" t="n"/>
      <c r="K124" s="301" t="n"/>
      <c r="L124" s="301" t="n"/>
    </row>
    <row r="125" ht="15" customHeight="1" s="221">
      <c r="A125" s="301" t="n"/>
      <c r="B125" s="301" t="n"/>
      <c r="C125" s="301" t="n"/>
      <c r="D125" s="301" t="n"/>
      <c r="E125" s="301" t="n"/>
      <c r="F125" s="301" t="n"/>
      <c r="G125" s="301" t="n"/>
      <c r="H125" s="301" t="n"/>
      <c r="I125" s="301" t="n"/>
      <c r="J125" s="301" t="n"/>
      <c r="K125" s="301" t="n"/>
      <c r="L125" s="301" t="n"/>
    </row>
    <row r="126" ht="15" customHeight="1" s="221">
      <c r="A126" s="301" t="n"/>
      <c r="B126" s="301" t="n"/>
      <c r="C126" s="301" t="n"/>
      <c r="D126" s="301" t="n"/>
      <c r="E126" s="301" t="n"/>
      <c r="F126" s="301" t="n"/>
      <c r="G126" s="301" t="n"/>
      <c r="H126" s="301" t="n"/>
      <c r="I126" s="301" t="n"/>
      <c r="J126" s="301" t="n"/>
      <c r="K126" s="301" t="n"/>
      <c r="L126" s="301" t="n"/>
    </row>
    <row r="127" ht="15" customHeight="1" s="221">
      <c r="A127" s="301" t="n"/>
      <c r="B127" s="301" t="n"/>
      <c r="C127" s="301" t="n"/>
      <c r="D127" s="301" t="n"/>
      <c r="E127" s="301" t="n"/>
      <c r="F127" s="301" t="n"/>
      <c r="G127" s="301" t="n"/>
      <c r="H127" s="301" t="n"/>
      <c r="I127" s="301" t="n"/>
      <c r="J127" s="301" t="n"/>
      <c r="K127" s="301" t="n"/>
      <c r="L127" s="301" t="n"/>
    </row>
    <row r="128" ht="15" customHeight="1" s="221">
      <c r="A128" s="301" t="n"/>
      <c r="B128" s="301" t="n"/>
      <c r="C128" s="301" t="n"/>
      <c r="D128" s="301" t="n"/>
      <c r="E128" s="301" t="n"/>
      <c r="F128" s="301" t="n"/>
      <c r="G128" s="301" t="n"/>
      <c r="H128" s="301" t="n"/>
      <c r="I128" s="301" t="n"/>
      <c r="J128" s="301" t="n"/>
      <c r="K128" s="301" t="n"/>
      <c r="L128" s="301" t="n"/>
    </row>
    <row r="129" ht="15" customHeight="1" s="221">
      <c r="A129" s="301" t="n"/>
      <c r="B129" s="301" t="n"/>
      <c r="C129" s="301" t="n"/>
      <c r="D129" s="301" t="n"/>
      <c r="E129" s="301" t="n"/>
      <c r="F129" s="301" t="n"/>
      <c r="G129" s="301" t="n"/>
      <c r="H129" s="301" t="n"/>
      <c r="I129" s="301" t="n"/>
      <c r="J129" s="301" t="n"/>
      <c r="K129" s="301" t="n"/>
      <c r="L129" s="301" t="n"/>
    </row>
    <row r="130" ht="15" customHeight="1" s="221">
      <c r="A130" s="301" t="n"/>
      <c r="B130" s="301" t="n"/>
      <c r="C130" s="301" t="n"/>
      <c r="D130" s="301" t="n"/>
      <c r="E130" s="301" t="n"/>
      <c r="F130" s="301" t="n"/>
      <c r="G130" s="301" t="n"/>
      <c r="H130" s="301" t="n"/>
      <c r="I130" s="301" t="n"/>
      <c r="J130" s="301" t="n"/>
      <c r="K130" s="301" t="n"/>
      <c r="L130" s="301" t="n"/>
    </row>
    <row r="131" ht="15" customHeight="1" s="221">
      <c r="A131" s="301" t="n"/>
      <c r="B131" s="301" t="n"/>
      <c r="C131" s="301" t="n"/>
      <c r="D131" s="301" t="n"/>
      <c r="E131" s="301" t="n"/>
      <c r="F131" s="301" t="n"/>
      <c r="G131" s="301" t="n"/>
      <c r="H131" s="301" t="n"/>
      <c r="I131" s="301" t="n"/>
      <c r="J131" s="301" t="n"/>
      <c r="K131" s="301" t="n"/>
      <c r="L131" s="301" t="n"/>
    </row>
    <row r="132" ht="15" customHeight="1" s="221">
      <c r="A132" s="301" t="n"/>
      <c r="B132" s="301" t="n"/>
      <c r="C132" s="301" t="n"/>
      <c r="D132" s="301" t="n"/>
      <c r="E132" s="301" t="n"/>
      <c r="F132" s="301" t="n"/>
      <c r="G132" s="301" t="n"/>
      <c r="H132" s="301" t="n"/>
      <c r="I132" s="301" t="n"/>
      <c r="J132" s="301" t="n"/>
      <c r="K132" s="301" t="n"/>
      <c r="L132" s="301" t="n"/>
    </row>
    <row r="133" ht="15" customHeight="1" s="221">
      <c r="A133" s="301" t="n"/>
      <c r="B133" s="301" t="n"/>
      <c r="C133" s="301" t="n"/>
      <c r="D133" s="301" t="n"/>
      <c r="E133" s="301" t="n"/>
      <c r="F133" s="301" t="n"/>
      <c r="G133" s="301" t="n"/>
      <c r="H133" s="301" t="n"/>
      <c r="I133" s="301" t="n"/>
      <c r="J133" s="301" t="n"/>
      <c r="K133" s="301" t="n"/>
      <c r="L133" s="301" t="n"/>
    </row>
    <row r="134" ht="15" customHeight="1" s="221">
      <c r="A134" s="301" t="n"/>
      <c r="B134" s="301" t="n"/>
      <c r="C134" s="301" t="n"/>
      <c r="D134" s="301" t="n"/>
      <c r="E134" s="301" t="n"/>
      <c r="F134" s="301" t="n"/>
      <c r="G134" s="301" t="n"/>
      <c r="H134" s="301" t="n"/>
      <c r="I134" s="301" t="n"/>
      <c r="J134" s="301" t="n"/>
      <c r="K134" s="301" t="n"/>
      <c r="L134" s="301" t="n"/>
    </row>
    <row r="135" ht="15" customHeight="1" s="221">
      <c r="A135" s="301" t="n"/>
      <c r="B135" s="301" t="n"/>
      <c r="C135" s="301" t="n"/>
      <c r="D135" s="301" t="n"/>
      <c r="E135" s="301" t="n"/>
      <c r="F135" s="301" t="n"/>
      <c r="G135" s="301" t="n"/>
      <c r="H135" s="301" t="n"/>
      <c r="I135" s="301" t="n"/>
      <c r="J135" s="301" t="n"/>
      <c r="K135" s="301" t="n"/>
      <c r="L135" s="301" t="n"/>
    </row>
    <row r="136" ht="15" customHeight="1" s="221">
      <c r="A136" s="301" t="n"/>
      <c r="B136" s="301" t="n"/>
      <c r="C136" s="301" t="n"/>
      <c r="D136" s="301" t="n"/>
      <c r="E136" s="301" t="n"/>
      <c r="F136" s="301" t="n"/>
      <c r="G136" s="301" t="n"/>
      <c r="H136" s="301" t="n"/>
      <c r="I136" s="301" t="n"/>
      <c r="J136" s="301" t="n"/>
      <c r="K136" s="301" t="n"/>
      <c r="L136" s="301" t="n"/>
    </row>
    <row r="137" ht="15" customHeight="1" s="221">
      <c r="A137" s="301" t="n"/>
      <c r="B137" s="301" t="n"/>
      <c r="C137" s="301" t="n"/>
      <c r="D137" s="301" t="n"/>
      <c r="E137" s="301" t="n"/>
      <c r="F137" s="301" t="n"/>
      <c r="G137" s="301" t="n"/>
      <c r="H137" s="301" t="n"/>
      <c r="I137" s="301" t="n"/>
      <c r="J137" s="301" t="n"/>
      <c r="K137" s="301" t="n"/>
      <c r="L137" s="301" t="n"/>
    </row>
    <row r="138" ht="15" customHeight="1" s="221">
      <c r="A138" s="301" t="n"/>
      <c r="B138" s="301" t="n"/>
      <c r="C138" s="301" t="n"/>
      <c r="D138" s="301" t="n"/>
      <c r="E138" s="301" t="n"/>
      <c r="F138" s="301" t="n"/>
      <c r="G138" s="301" t="n"/>
      <c r="H138" s="301" t="n"/>
      <c r="I138" s="301" t="n"/>
      <c r="J138" s="301" t="n"/>
      <c r="K138" s="301" t="n"/>
      <c r="L138" s="301" t="n"/>
    </row>
    <row r="139" ht="15" customHeight="1" s="221">
      <c r="A139" s="301" t="n"/>
      <c r="B139" s="301" t="n"/>
      <c r="C139" s="301" t="n"/>
      <c r="D139" s="301" t="n"/>
      <c r="E139" s="301" t="n"/>
      <c r="F139" s="301" t="n"/>
      <c r="G139" s="301" t="n"/>
      <c r="H139" s="301" t="n"/>
      <c r="I139" s="301" t="n"/>
      <c r="J139" s="301" t="n"/>
      <c r="K139" s="301" t="n"/>
      <c r="L139" s="301" t="n"/>
    </row>
    <row r="140" ht="15" customHeight="1" s="221">
      <c r="A140" s="301" t="n"/>
      <c r="B140" s="301" t="n"/>
      <c r="C140" s="301" t="n"/>
      <c r="D140" s="301" t="n"/>
      <c r="E140" s="301" t="n"/>
      <c r="F140" s="301" t="n"/>
      <c r="G140" s="301" t="n"/>
      <c r="H140" s="301" t="n"/>
      <c r="I140" s="301" t="n"/>
      <c r="J140" s="301" t="n"/>
      <c r="K140" s="301" t="n"/>
      <c r="L140" s="301" t="n"/>
    </row>
    <row r="141" ht="15" customHeight="1" s="221">
      <c r="A141" s="301" t="n"/>
      <c r="B141" s="301" t="n"/>
      <c r="C141" s="301" t="n"/>
      <c r="D141" s="301" t="n"/>
      <c r="E141" s="301" t="n"/>
      <c r="F141" s="301" t="n"/>
      <c r="G141" s="301" t="n"/>
      <c r="H141" s="301" t="n"/>
      <c r="I141" s="301" t="n"/>
      <c r="J141" s="301" t="n"/>
      <c r="K141" s="301" t="n"/>
      <c r="L141" s="301" t="n"/>
    </row>
    <row r="142" ht="15" customHeight="1" s="221">
      <c r="A142" s="301" t="n"/>
      <c r="B142" s="301" t="n"/>
      <c r="C142" s="301" t="n"/>
      <c r="D142" s="301" t="n"/>
      <c r="E142" s="301" t="n"/>
      <c r="F142" s="301" t="n"/>
      <c r="G142" s="301" t="n"/>
      <c r="H142" s="301" t="n"/>
      <c r="I142" s="301" t="n"/>
      <c r="J142" s="301" t="n"/>
      <c r="K142" s="301" t="n"/>
      <c r="L142" s="301" t="n"/>
    </row>
    <row r="143" ht="15" customHeight="1" s="221">
      <c r="A143" s="301" t="n"/>
      <c r="B143" s="301" t="n"/>
      <c r="C143" s="301" t="n"/>
      <c r="D143" s="301" t="n"/>
      <c r="E143" s="301" t="n"/>
      <c r="F143" s="301" t="n"/>
      <c r="G143" s="301" t="n"/>
      <c r="H143" s="301" t="n"/>
      <c r="I143" s="301" t="n"/>
      <c r="J143" s="301" t="n"/>
      <c r="K143" s="301" t="n"/>
      <c r="L143" s="301" t="n"/>
    </row>
    <row r="144" ht="15" customHeight="1" s="221">
      <c r="A144" s="301" t="n"/>
      <c r="B144" s="301" t="n"/>
      <c r="C144" s="301" t="n"/>
      <c r="D144" s="301" t="n"/>
      <c r="E144" s="301" t="n"/>
      <c r="F144" s="301" t="n"/>
      <c r="G144" s="301" t="n"/>
      <c r="H144" s="301" t="n"/>
      <c r="I144" s="301" t="n"/>
      <c r="J144" s="301" t="n"/>
      <c r="K144" s="301" t="n"/>
      <c r="L144" s="301" t="n"/>
    </row>
    <row r="145" ht="15" customHeight="1" s="221">
      <c r="A145" s="301" t="n"/>
      <c r="B145" s="301" t="n"/>
      <c r="C145" s="301" t="n"/>
      <c r="D145" s="301" t="n"/>
      <c r="E145" s="301" t="n"/>
      <c r="F145" s="301" t="n"/>
      <c r="G145" s="301" t="n"/>
      <c r="H145" s="301" t="n"/>
      <c r="I145" s="301" t="n"/>
      <c r="J145" s="301" t="n"/>
      <c r="K145" s="301" t="n"/>
      <c r="L145" s="301" t="n"/>
    </row>
    <row r="146" ht="15" customHeight="1" s="221">
      <c r="A146" s="301" t="n"/>
      <c r="B146" s="301" t="n"/>
      <c r="C146" s="301" t="n"/>
      <c r="D146" s="301" t="n"/>
      <c r="E146" s="301" t="n"/>
      <c r="F146" s="301" t="n"/>
      <c r="G146" s="301" t="n"/>
      <c r="H146" s="301" t="n"/>
      <c r="I146" s="301" t="n"/>
      <c r="J146" s="301" t="n"/>
      <c r="K146" s="301" t="n"/>
      <c r="L146" s="301" t="n"/>
    </row>
    <row r="147" ht="15" customHeight="1" s="221">
      <c r="A147" s="301" t="n"/>
      <c r="B147" s="301" t="n"/>
      <c r="C147" s="301" t="n"/>
      <c r="D147" s="301" t="n"/>
      <c r="E147" s="301" t="n"/>
      <c r="F147" s="301" t="n"/>
      <c r="G147" s="301" t="n"/>
      <c r="H147" s="301" t="n"/>
      <c r="I147" s="301" t="n"/>
      <c r="J147" s="301" t="n"/>
      <c r="K147" s="301" t="n"/>
      <c r="L147" s="301" t="n"/>
    </row>
    <row r="148" ht="15" customHeight="1" s="221">
      <c r="A148" s="301" t="n"/>
      <c r="B148" s="301" t="n"/>
      <c r="C148" s="301" t="n"/>
      <c r="D148" s="301" t="n"/>
      <c r="E148" s="301" t="n"/>
      <c r="F148" s="301" t="n"/>
      <c r="G148" s="301" t="n"/>
      <c r="H148" s="301" t="n"/>
      <c r="I148" s="301" t="n"/>
      <c r="J148" s="301" t="n"/>
      <c r="K148" s="301" t="n"/>
      <c r="L148" s="301" t="n"/>
    </row>
    <row r="149" ht="15" customHeight="1" s="221">
      <c r="A149" s="301" t="n"/>
      <c r="B149" s="301" t="n"/>
      <c r="C149" s="301" t="n"/>
      <c r="D149" s="301" t="n"/>
      <c r="E149" s="301" t="n"/>
      <c r="F149" s="301" t="n"/>
      <c r="G149" s="301" t="n"/>
      <c r="H149" s="301" t="n"/>
      <c r="I149" s="301" t="n"/>
      <c r="J149" s="301" t="n"/>
      <c r="K149" s="301" t="n"/>
      <c r="L149" s="301" t="n"/>
    </row>
    <row r="150" ht="15" customHeight="1" s="221">
      <c r="A150" s="301" t="n"/>
      <c r="B150" s="301" t="n"/>
      <c r="C150" s="301" t="n"/>
      <c r="D150" s="301" t="n"/>
      <c r="E150" s="301" t="n"/>
      <c r="F150" s="301" t="n"/>
      <c r="G150" s="301" t="n"/>
      <c r="H150" s="301" t="n"/>
      <c r="I150" s="301" t="n"/>
      <c r="J150" s="301" t="n"/>
      <c r="K150" s="301" t="n"/>
      <c r="L150" s="301" t="n"/>
    </row>
  </sheetData>
  <mergeCells count="35">
    <mergeCell ref="G10:I10"/>
    <mergeCell ref="A8:D8"/>
    <mergeCell ref="A73:B73"/>
    <mergeCell ref="A62:D62"/>
    <mergeCell ref="G47:J47"/>
    <mergeCell ref="G54:J54"/>
    <mergeCell ref="A28:D28"/>
    <mergeCell ref="A26:C26"/>
    <mergeCell ref="G40:J40"/>
    <mergeCell ref="J77:K77"/>
    <mergeCell ref="A30:D30"/>
    <mergeCell ref="A51:D51"/>
    <mergeCell ref="A20:C20"/>
    <mergeCell ref="A3:B3"/>
    <mergeCell ref="G3:H3"/>
    <mergeCell ref="G67:J67"/>
    <mergeCell ref="A1:J1"/>
    <mergeCell ref="G8:J8"/>
    <mergeCell ref="G9:I9"/>
    <mergeCell ref="G65:H65"/>
    <mergeCell ref="D4:E4"/>
    <mergeCell ref="A41:D41"/>
    <mergeCell ref="G12:I12"/>
    <mergeCell ref="A17:B17"/>
    <mergeCell ref="D3:E3"/>
    <mergeCell ref="G64:H64"/>
    <mergeCell ref="G28:J28"/>
    <mergeCell ref="A4:B4"/>
    <mergeCell ref="G4:H4"/>
    <mergeCell ref="A72:B72"/>
    <mergeCell ref="A6:C6"/>
    <mergeCell ref="G34:J34"/>
    <mergeCell ref="G30:J30"/>
    <mergeCell ref="A9:B9"/>
    <mergeCell ref="G45:J45"/>
  </mergeCells>
  <conditionalFormatting sqref="B33:B200">
    <cfRule type="expression" rank="0" priority="2" equalAverage="0" aboveAverage="0" dxfId="0" text="" percent="0" bottom="0">
      <formula>$B33="Pagado"</formula>
    </cfRule>
    <cfRule type="expression" rank="0" priority="3" equalAverage="0" aboveAverage="0" dxfId="1" text="" percent="0" bottom="0">
      <formula>$B33="Pendiente"</formula>
    </cfRule>
    <cfRule type="expression" rank="0" priority="4" equalAverage="0" aboveAverage="0" dxfId="2" text="" percent="0" bottom="0">
      <formula>$B33="Cancelado"</formula>
    </cfRule>
  </conditionalFormatting>
  <dataValidations count="2">
    <dataValidation sqref="B33:B200" showDropDown="0" showInputMessage="0" showErrorMessage="0" allowBlank="1" type="list" errorStyle="stop" operator="between">
      <formula1>"Ninguno,Pendiente,Pagado,Cancelado"</formula1>
      <formula2>0</formula2>
    </dataValidation>
    <dataValidation sqref="H31:H62" showDropDown="0" showInputMessage="0" showErrorMessage="0" allowBlank="1" errorTitle="Estado inválido" error="Selecciona un estado válido" type="list">
      <formula1>"Ninguno,Pendiente,Pagado,Cancelado"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tabColor rgb="FFC0392B"/>
    <outlinePr summaryBelow="1" summaryRight="1"/>
    <pageSetUpPr fitToPage="0"/>
  </sheetPr>
  <dimension ref="A1:J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2" customWidth="1" style="220" min="1" max="2"/>
    <col width="18" customWidth="1" style="220" min="3" max="3"/>
    <col width="28" customWidth="1" style="220" min="4" max="4"/>
    <col width="14" customWidth="1" style="220" min="5" max="6"/>
    <col width="18" customWidth="1" style="220" min="7" max="8"/>
  </cols>
  <sheetData>
    <row r="1" ht="18" customHeight="1" s="221">
      <c r="A1" s="310" t="inlineStr">
        <is>
          <t>📋 REGISTRO DE MOVIMIENTOS - OCTUBRE 2026</t>
        </is>
      </c>
      <c r="I1" s="301" t="n"/>
      <c r="J1" s="301" t="n"/>
    </row>
    <row r="2" ht="15" customHeight="1" s="221">
      <c r="A2" s="301" t="n"/>
      <c r="B2" s="301" t="n"/>
      <c r="C2" s="301" t="n"/>
      <c r="D2" s="301" t="n"/>
      <c r="E2" s="301" t="n"/>
      <c r="F2" s="301" t="n"/>
      <c r="G2" s="301" t="n"/>
      <c r="H2" s="301" t="n"/>
      <c r="I2" s="301" t="n"/>
      <c r="J2" s="301" t="n"/>
    </row>
    <row r="3" ht="15" customHeight="1" s="221">
      <c r="A3" s="311" t="inlineStr">
        <is>
          <t>Fecha</t>
        </is>
      </c>
      <c r="B3" s="312" t="inlineStr">
        <is>
          <t>Tipo</t>
        </is>
      </c>
      <c r="C3" s="312" t="inlineStr">
        <is>
          <t>Categoría</t>
        </is>
      </c>
      <c r="D3" s="311" t="inlineStr">
        <is>
          <t>Descripción</t>
        </is>
      </c>
      <c r="E3" s="311" t="inlineStr">
        <is>
          <t>Ingreso</t>
        </is>
      </c>
      <c r="F3" s="311" t="inlineStr">
        <is>
          <t>Egreso</t>
        </is>
      </c>
      <c r="G3" s="311" t="inlineStr">
        <is>
          <t>Cuenta</t>
        </is>
      </c>
      <c r="H3" s="311" t="inlineStr">
        <is>
          <t>Notas</t>
        </is>
      </c>
      <c r="I3" s="301" t="n"/>
      <c r="J3" s="301" t="n"/>
    </row>
    <row r="4" ht="15" customHeight="1" s="221">
      <c r="A4" s="313" t="n"/>
      <c r="B4" s="314" t="n"/>
      <c r="C4" s="315" t="n"/>
      <c r="D4" s="316" t="n"/>
      <c r="E4" s="317" t="n"/>
      <c r="F4" s="317" t="n"/>
      <c r="G4" s="318" t="n"/>
      <c r="H4" s="316" t="n"/>
      <c r="I4" s="301" t="n"/>
      <c r="J4" s="301" t="n"/>
    </row>
    <row r="5" ht="15" customHeight="1" s="221">
      <c r="A5" s="319" t="n"/>
      <c r="B5" s="320" t="n"/>
      <c r="C5" s="321" t="n"/>
      <c r="D5" s="322" t="n"/>
      <c r="E5" s="323" t="n"/>
      <c r="F5" s="323" t="n"/>
      <c r="G5" s="324" t="n"/>
      <c r="H5" s="322" t="n"/>
      <c r="I5" s="301" t="n"/>
      <c r="J5" s="301" t="n"/>
    </row>
    <row r="6" ht="15" customHeight="1" s="221">
      <c r="A6" s="313" t="n"/>
      <c r="B6" s="314" t="n"/>
      <c r="C6" s="315" t="n"/>
      <c r="D6" s="316" t="n"/>
      <c r="E6" s="317" t="n"/>
      <c r="F6" s="317" t="n"/>
      <c r="G6" s="318" t="n"/>
      <c r="H6" s="316" t="n"/>
      <c r="I6" s="301" t="n"/>
      <c r="J6" s="301" t="n"/>
    </row>
    <row r="7" ht="15" customHeight="1" s="221">
      <c r="A7" s="319" t="n"/>
      <c r="B7" s="320" t="n"/>
      <c r="C7" s="321" t="n"/>
      <c r="D7" s="322" t="n"/>
      <c r="E7" s="323" t="n"/>
      <c r="F7" s="323" t="n"/>
      <c r="G7" s="324" t="n"/>
      <c r="H7" s="322" t="n"/>
      <c r="I7" s="301" t="n"/>
      <c r="J7" s="301" t="n"/>
    </row>
    <row r="8" ht="15" customHeight="1" s="221">
      <c r="A8" s="313" t="n"/>
      <c r="B8" s="314" t="n"/>
      <c r="C8" s="315" t="n"/>
      <c r="D8" s="316" t="n"/>
      <c r="E8" s="317" t="n"/>
      <c r="F8" s="317" t="n"/>
      <c r="G8" s="318" t="n"/>
      <c r="H8" s="316" t="n"/>
      <c r="I8" s="301" t="n"/>
      <c r="J8" s="301" t="n"/>
    </row>
    <row r="9" ht="15" customHeight="1" s="221">
      <c r="A9" s="319" t="n"/>
      <c r="B9" s="320" t="n"/>
      <c r="C9" s="321" t="n"/>
      <c r="D9" s="322" t="n"/>
      <c r="E9" s="323" t="n"/>
      <c r="F9" s="323" t="n"/>
      <c r="G9" s="324" t="n"/>
      <c r="H9" s="322" t="n"/>
      <c r="I9" s="301" t="n"/>
      <c r="J9" s="301" t="n"/>
    </row>
    <row r="10" ht="15" customHeight="1" s="221">
      <c r="A10" s="313" t="n"/>
      <c r="B10" s="314" t="n"/>
      <c r="C10" s="315" t="n"/>
      <c r="D10" s="316" t="n"/>
      <c r="E10" s="317" t="n"/>
      <c r="F10" s="317" t="n"/>
      <c r="G10" s="318" t="n"/>
      <c r="H10" s="316" t="n"/>
      <c r="I10" s="301" t="n"/>
      <c r="J10" s="301" t="n"/>
    </row>
    <row r="11" ht="15" customHeight="1" s="221">
      <c r="A11" s="319" t="n"/>
      <c r="B11" s="320" t="n"/>
      <c r="C11" s="321" t="n"/>
      <c r="D11" s="322" t="n"/>
      <c r="E11" s="323" t="n"/>
      <c r="F11" s="323" t="n"/>
      <c r="G11" s="324" t="n"/>
      <c r="H11" s="322" t="n"/>
      <c r="I11" s="301" t="n"/>
      <c r="J11" s="301" t="n"/>
    </row>
    <row r="12" ht="15" customHeight="1" s="221">
      <c r="A12" s="313" t="n"/>
      <c r="B12" s="314" t="n"/>
      <c r="C12" s="315" t="n"/>
      <c r="D12" s="316" t="n"/>
      <c r="E12" s="317" t="n"/>
      <c r="F12" s="317" t="n"/>
      <c r="G12" s="318" t="n"/>
      <c r="H12" s="316" t="n"/>
      <c r="I12" s="301" t="n"/>
      <c r="J12" s="301" t="n"/>
    </row>
    <row r="13" ht="15" customHeight="1" s="221">
      <c r="A13" s="319" t="n"/>
      <c r="B13" s="320" t="n"/>
      <c r="C13" s="321" t="n"/>
      <c r="D13" s="322" t="n"/>
      <c r="E13" s="323" t="n"/>
      <c r="F13" s="323" t="n"/>
      <c r="G13" s="324" t="n"/>
      <c r="H13" s="322" t="n"/>
      <c r="I13" s="301" t="n"/>
      <c r="J13" s="301" t="n"/>
    </row>
    <row r="14" ht="15" customHeight="1" s="221">
      <c r="A14" s="313" t="n"/>
      <c r="B14" s="314" t="n"/>
      <c r="C14" s="315" t="n"/>
      <c r="D14" s="316" t="n"/>
      <c r="E14" s="317" t="n"/>
      <c r="F14" s="317" t="n"/>
      <c r="G14" s="318" t="n"/>
      <c r="H14" s="316" t="n"/>
      <c r="I14" s="301" t="n"/>
      <c r="J14" s="301" t="n"/>
    </row>
    <row r="15" ht="15" customHeight="1" s="221">
      <c r="A15" s="319" t="n"/>
      <c r="B15" s="320" t="n"/>
      <c r="C15" s="321" t="n"/>
      <c r="D15" s="322" t="n"/>
      <c r="E15" s="323" t="n"/>
      <c r="F15" s="323" t="n"/>
      <c r="G15" s="324" t="n"/>
      <c r="H15" s="322" t="n"/>
      <c r="I15" s="301" t="n"/>
      <c r="J15" s="301" t="n"/>
    </row>
    <row r="16" ht="15" customHeight="1" s="221">
      <c r="A16" s="313" t="n"/>
      <c r="B16" s="314" t="n"/>
      <c r="C16" s="315" t="n"/>
      <c r="D16" s="316" t="n"/>
      <c r="E16" s="317" t="n"/>
      <c r="F16" s="317" t="n"/>
      <c r="G16" s="318" t="n"/>
      <c r="H16" s="316" t="n"/>
      <c r="I16" s="301" t="n"/>
      <c r="J16" s="301" t="n"/>
    </row>
    <row r="17" ht="15" customHeight="1" s="221">
      <c r="A17" s="319" t="n"/>
      <c r="B17" s="320" t="n"/>
      <c r="C17" s="321" t="n"/>
      <c r="D17" s="322" t="n"/>
      <c r="E17" s="323" t="n"/>
      <c r="F17" s="323" t="n"/>
      <c r="G17" s="324" t="n"/>
      <c r="H17" s="322" t="n"/>
      <c r="I17" s="301" t="n"/>
      <c r="J17" s="301" t="n"/>
    </row>
    <row r="18" ht="15" customHeight="1" s="221">
      <c r="A18" s="313" t="n"/>
      <c r="B18" s="314" t="n"/>
      <c r="C18" s="315" t="n"/>
      <c r="D18" s="316" t="n"/>
      <c r="E18" s="317" t="n"/>
      <c r="F18" s="317" t="n"/>
      <c r="G18" s="318" t="n"/>
      <c r="H18" s="316" t="n"/>
      <c r="I18" s="301" t="n"/>
      <c r="J18" s="301" t="n"/>
    </row>
    <row r="19" ht="15" customHeight="1" s="221">
      <c r="A19" s="319" t="n"/>
      <c r="B19" s="320" t="n"/>
      <c r="C19" s="321" t="n"/>
      <c r="D19" s="322" t="n"/>
      <c r="E19" s="323" t="n"/>
      <c r="F19" s="323" t="n"/>
      <c r="G19" s="324" t="n"/>
      <c r="H19" s="322" t="n"/>
      <c r="I19" s="301" t="n"/>
      <c r="J19" s="301" t="n"/>
    </row>
    <row r="20" ht="15" customHeight="1" s="221">
      <c r="A20" s="313" t="n"/>
      <c r="B20" s="314" t="n"/>
      <c r="C20" s="315" t="n"/>
      <c r="D20" s="316" t="n"/>
      <c r="E20" s="317" t="n"/>
      <c r="F20" s="317" t="n"/>
      <c r="G20" s="318" t="n"/>
      <c r="H20" s="316" t="n"/>
      <c r="I20" s="301" t="n"/>
      <c r="J20" s="301" t="n"/>
    </row>
    <row r="21" ht="15" customHeight="1" s="221">
      <c r="A21" s="319" t="n"/>
      <c r="B21" s="320" t="n"/>
      <c r="C21" s="321" t="n"/>
      <c r="D21" s="322" t="n"/>
      <c r="E21" s="323" t="n"/>
      <c r="F21" s="323" t="n"/>
      <c r="G21" s="324" t="n"/>
      <c r="H21" s="322" t="n"/>
      <c r="I21" s="301" t="n"/>
      <c r="J21" s="301" t="n"/>
    </row>
    <row r="22" ht="15" customHeight="1" s="221">
      <c r="A22" s="313" t="n"/>
      <c r="B22" s="314" t="n"/>
      <c r="C22" s="315" t="n"/>
      <c r="D22" s="316" t="n"/>
      <c r="E22" s="317" t="n"/>
      <c r="F22" s="317" t="n"/>
      <c r="G22" s="318" t="n"/>
      <c r="H22" s="316" t="n"/>
      <c r="I22" s="301" t="n"/>
      <c r="J22" s="301" t="n"/>
    </row>
    <row r="23" ht="15" customHeight="1" s="221">
      <c r="A23" s="319" t="n"/>
      <c r="B23" s="320" t="n"/>
      <c r="C23" s="321" t="n"/>
      <c r="D23" s="322" t="n"/>
      <c r="E23" s="323" t="n"/>
      <c r="F23" s="323" t="n"/>
      <c r="G23" s="324" t="n"/>
      <c r="H23" s="322" t="n"/>
      <c r="I23" s="301" t="n"/>
      <c r="J23" s="301" t="n"/>
    </row>
    <row r="24" ht="15" customHeight="1" s="221">
      <c r="A24" s="313" t="n"/>
      <c r="B24" s="318" t="n"/>
      <c r="C24" s="315" t="n"/>
      <c r="D24" s="316" t="n"/>
      <c r="E24" s="317" t="n"/>
      <c r="F24" s="317" t="n"/>
      <c r="G24" s="318" t="n"/>
      <c r="H24" s="316" t="n"/>
      <c r="I24" s="301" t="n"/>
      <c r="J24" s="301" t="n"/>
    </row>
    <row r="25" ht="15" customHeight="1" s="221">
      <c r="A25" s="319" t="n"/>
      <c r="B25" s="324" t="n"/>
      <c r="C25" s="321" t="n"/>
      <c r="D25" s="322" t="n"/>
      <c r="E25" s="323" t="n"/>
      <c r="F25" s="323" t="n"/>
      <c r="G25" s="324" t="n"/>
      <c r="H25" s="322" t="n"/>
      <c r="I25" s="301" t="n"/>
      <c r="J25" s="301" t="n"/>
    </row>
    <row r="26" ht="15" customHeight="1" s="221">
      <c r="A26" s="313" t="n"/>
      <c r="B26" s="318" t="n"/>
      <c r="C26" s="315" t="n"/>
      <c r="D26" s="316" t="n"/>
      <c r="E26" s="317" t="n"/>
      <c r="F26" s="317" t="n"/>
      <c r="G26" s="318" t="n"/>
      <c r="H26" s="316" t="n"/>
      <c r="I26" s="301" t="n"/>
      <c r="J26" s="301" t="n"/>
    </row>
    <row r="27" ht="15" customHeight="1" s="221">
      <c r="A27" s="319" t="n"/>
      <c r="B27" s="324" t="n"/>
      <c r="C27" s="321" t="n"/>
      <c r="D27" s="322" t="n"/>
      <c r="E27" s="323" t="n"/>
      <c r="F27" s="323" t="n"/>
      <c r="G27" s="324" t="n"/>
      <c r="H27" s="322" t="n"/>
      <c r="I27" s="301" t="n"/>
      <c r="J27" s="301" t="n"/>
    </row>
    <row r="28" ht="15" customHeight="1" s="221">
      <c r="A28" s="313" t="n"/>
      <c r="B28" s="318" t="n"/>
      <c r="C28" s="315" t="n"/>
      <c r="D28" s="316" t="n"/>
      <c r="E28" s="317" t="n"/>
      <c r="F28" s="317" t="n"/>
      <c r="G28" s="318" t="n"/>
      <c r="H28" s="316" t="n"/>
      <c r="I28" s="301" t="n"/>
      <c r="J28" s="301" t="n"/>
    </row>
    <row r="29" ht="15" customHeight="1" s="221">
      <c r="A29" s="319" t="n"/>
      <c r="B29" s="324" t="n"/>
      <c r="C29" s="321" t="n"/>
      <c r="D29" s="322" t="n"/>
      <c r="E29" s="323" t="n"/>
      <c r="F29" s="323" t="n"/>
      <c r="G29" s="324" t="n"/>
      <c r="H29" s="322" t="n"/>
      <c r="I29" s="301" t="n"/>
      <c r="J29" s="301" t="n"/>
    </row>
    <row r="30" ht="15" customHeight="1" s="221">
      <c r="A30" s="313" t="n"/>
      <c r="B30" s="318" t="n"/>
      <c r="C30" s="315" t="n"/>
      <c r="D30" s="316" t="n"/>
      <c r="E30" s="317" t="n"/>
      <c r="F30" s="317" t="n"/>
      <c r="G30" s="318" t="n"/>
      <c r="H30" s="316" t="n"/>
      <c r="I30" s="301" t="n"/>
      <c r="J30" s="301" t="n"/>
    </row>
    <row r="31" ht="15" customHeight="1" s="221">
      <c r="A31" s="319" t="n"/>
      <c r="B31" s="324" t="n"/>
      <c r="C31" s="321" t="n"/>
      <c r="D31" s="322" t="n"/>
      <c r="E31" s="323" t="n"/>
      <c r="F31" s="323" t="n"/>
      <c r="G31" s="324" t="n"/>
      <c r="H31" s="322" t="n"/>
      <c r="I31" s="301" t="n"/>
      <c r="J31" s="301" t="n"/>
    </row>
    <row r="32" ht="15" customHeight="1" s="221">
      <c r="A32" s="313" t="n"/>
      <c r="B32" s="318" t="n"/>
      <c r="C32" s="315" t="n"/>
      <c r="D32" s="316" t="n"/>
      <c r="E32" s="317" t="n"/>
      <c r="F32" s="317" t="n"/>
      <c r="G32" s="318" t="n"/>
      <c r="H32" s="316" t="n"/>
      <c r="I32" s="301" t="n"/>
      <c r="J32" s="301" t="n"/>
    </row>
    <row r="33" ht="15" customHeight="1" s="221">
      <c r="A33" s="319" t="n"/>
      <c r="B33" s="324" t="n"/>
      <c r="C33" s="321" t="n"/>
      <c r="D33" s="322" t="n"/>
      <c r="E33" s="323" t="n"/>
      <c r="F33" s="323" t="n"/>
      <c r="G33" s="324" t="n"/>
      <c r="H33" s="322" t="n"/>
      <c r="I33" s="301" t="n"/>
      <c r="J33" s="301" t="n"/>
    </row>
    <row r="34" ht="15" customHeight="1" s="221">
      <c r="A34" s="313" t="n"/>
      <c r="B34" s="318" t="n"/>
      <c r="C34" s="315" t="n"/>
      <c r="D34" s="316" t="n"/>
      <c r="E34" s="317" t="n"/>
      <c r="F34" s="317" t="n"/>
      <c r="G34" s="318" t="n"/>
      <c r="H34" s="316" t="n"/>
      <c r="I34" s="301" t="n"/>
      <c r="J34" s="301" t="n"/>
    </row>
    <row r="35" ht="15" customHeight="1" s="221">
      <c r="A35" s="319" t="n"/>
      <c r="B35" s="324" t="n"/>
      <c r="C35" s="322" t="n"/>
      <c r="D35" s="322" t="n"/>
      <c r="E35" s="323" t="n"/>
      <c r="F35" s="323" t="n"/>
      <c r="G35" s="324" t="n"/>
      <c r="H35" s="322" t="n"/>
      <c r="I35" s="301" t="n"/>
      <c r="J35" s="301" t="n"/>
    </row>
    <row r="36" ht="15" customHeight="1" s="221">
      <c r="A36" s="313" t="n"/>
      <c r="B36" s="318" t="n"/>
      <c r="C36" s="316" t="n"/>
      <c r="D36" s="316" t="n"/>
      <c r="E36" s="317" t="n"/>
      <c r="F36" s="317" t="n"/>
      <c r="G36" s="318" t="n"/>
      <c r="H36" s="316" t="n"/>
      <c r="I36" s="301" t="n"/>
      <c r="J36" s="301" t="n"/>
    </row>
    <row r="37" ht="15" customHeight="1" s="221">
      <c r="A37" s="319" t="n"/>
      <c r="B37" s="324" t="n"/>
      <c r="C37" s="322" t="n"/>
      <c r="D37" s="322" t="n"/>
      <c r="E37" s="323" t="n"/>
      <c r="F37" s="323" t="n"/>
      <c r="G37" s="324" t="n"/>
      <c r="H37" s="322" t="n"/>
      <c r="I37" s="301" t="n"/>
      <c r="J37" s="301" t="n"/>
    </row>
    <row r="38" ht="15" customHeight="1" s="221">
      <c r="A38" s="313" t="n"/>
      <c r="B38" s="318" t="n"/>
      <c r="C38" s="316" t="n"/>
      <c r="D38" s="316" t="n"/>
      <c r="E38" s="317" t="n"/>
      <c r="F38" s="317" t="n"/>
      <c r="G38" s="318" t="n"/>
      <c r="H38" s="316" t="n"/>
      <c r="I38" s="301" t="n"/>
      <c r="J38" s="301" t="n"/>
    </row>
    <row r="39" ht="15" customHeight="1" s="221">
      <c r="A39" s="319" t="n"/>
      <c r="B39" s="324" t="n"/>
      <c r="C39" s="322" t="n"/>
      <c r="D39" s="322" t="n"/>
      <c r="E39" s="323" t="n"/>
      <c r="F39" s="323" t="n"/>
      <c r="G39" s="324" t="n"/>
      <c r="H39" s="322" t="n"/>
      <c r="I39" s="301" t="n"/>
      <c r="J39" s="301" t="n"/>
    </row>
    <row r="40" ht="15" customHeight="1" s="221">
      <c r="A40" s="313" t="n"/>
      <c r="B40" s="318" t="n"/>
      <c r="C40" s="316" t="n"/>
      <c r="D40" s="316" t="n"/>
      <c r="E40" s="317" t="n"/>
      <c r="F40" s="317" t="n"/>
      <c r="G40" s="318" t="n"/>
      <c r="H40" s="316" t="n"/>
      <c r="I40" s="301" t="n"/>
      <c r="J40" s="301" t="n"/>
    </row>
    <row r="41" ht="15" customHeight="1" s="221">
      <c r="A41" s="319" t="n"/>
      <c r="B41" s="324" t="n"/>
      <c r="C41" s="322" t="n"/>
      <c r="D41" s="322" t="n"/>
      <c r="E41" s="323" t="n"/>
      <c r="F41" s="323" t="n"/>
      <c r="G41" s="324" t="n"/>
      <c r="H41" s="322" t="n"/>
      <c r="I41" s="301" t="n"/>
      <c r="J41" s="301" t="n"/>
    </row>
    <row r="42" ht="15" customHeight="1" s="221">
      <c r="A42" s="313" t="n"/>
      <c r="B42" s="318" t="n"/>
      <c r="C42" s="316" t="n"/>
      <c r="D42" s="316" t="n"/>
      <c r="E42" s="317" t="n"/>
      <c r="F42" s="317" t="n"/>
      <c r="G42" s="318" t="n"/>
      <c r="H42" s="316" t="n"/>
      <c r="I42" s="301" t="n"/>
      <c r="J42" s="301" t="n"/>
    </row>
    <row r="43" ht="15" customHeight="1" s="221">
      <c r="A43" s="319" t="n"/>
      <c r="B43" s="324" t="n"/>
      <c r="C43" s="322" t="n"/>
      <c r="D43" s="322" t="n"/>
      <c r="E43" s="323" t="n"/>
      <c r="F43" s="323" t="n"/>
      <c r="G43" s="324" t="n"/>
      <c r="H43" s="322" t="n"/>
      <c r="I43" s="301" t="n"/>
      <c r="J43" s="301" t="n"/>
    </row>
    <row r="44" ht="15" customHeight="1" s="221">
      <c r="A44" s="313" t="n"/>
      <c r="B44" s="318" t="n"/>
      <c r="C44" s="316" t="n"/>
      <c r="D44" s="316" t="n"/>
      <c r="E44" s="317" t="n"/>
      <c r="F44" s="317" t="n"/>
      <c r="G44" s="318" t="n"/>
      <c r="H44" s="316" t="n"/>
      <c r="I44" s="301" t="n"/>
      <c r="J44" s="301" t="n"/>
    </row>
    <row r="45" ht="15" customHeight="1" s="221">
      <c r="A45" s="319" t="n"/>
      <c r="B45" s="324" t="n"/>
      <c r="C45" s="322" t="n"/>
      <c r="D45" s="322" t="n"/>
      <c r="E45" s="323" t="n"/>
      <c r="F45" s="323" t="n"/>
      <c r="G45" s="324" t="n"/>
      <c r="H45" s="322" t="n"/>
      <c r="I45" s="301" t="n"/>
      <c r="J45" s="301" t="n"/>
    </row>
    <row r="46" ht="15" customHeight="1" s="221">
      <c r="A46" s="313" t="n"/>
      <c r="B46" s="318" t="n"/>
      <c r="C46" s="316" t="n"/>
      <c r="D46" s="316" t="n"/>
      <c r="E46" s="317" t="n"/>
      <c r="F46" s="317" t="n"/>
      <c r="G46" s="318" t="n"/>
      <c r="H46" s="316" t="n"/>
      <c r="I46" s="301" t="n"/>
      <c r="J46" s="301" t="n"/>
    </row>
    <row r="47" ht="15" customHeight="1" s="221">
      <c r="A47" s="319" t="n"/>
      <c r="B47" s="324" t="n"/>
      <c r="C47" s="322" t="n"/>
      <c r="D47" s="322" t="n"/>
      <c r="E47" s="323" t="n"/>
      <c r="F47" s="323" t="n"/>
      <c r="G47" s="324" t="n"/>
      <c r="H47" s="322" t="n"/>
      <c r="I47" s="301" t="n"/>
      <c r="J47" s="301" t="n"/>
    </row>
    <row r="48" ht="15" customHeight="1" s="221">
      <c r="A48" s="313" t="n"/>
      <c r="B48" s="318" t="n"/>
      <c r="C48" s="316" t="n"/>
      <c r="D48" s="316" t="n"/>
      <c r="E48" s="317" t="n"/>
      <c r="F48" s="317" t="n"/>
      <c r="G48" s="318" t="n"/>
      <c r="H48" s="316" t="n"/>
      <c r="I48" s="301" t="n"/>
      <c r="J48" s="301" t="n"/>
    </row>
    <row r="49" ht="15" customHeight="1" s="221">
      <c r="A49" s="319" t="n"/>
      <c r="B49" s="324" t="n"/>
      <c r="C49" s="322" t="n"/>
      <c r="D49" s="322" t="n"/>
      <c r="E49" s="323" t="n"/>
      <c r="F49" s="323" t="n"/>
      <c r="G49" s="324" t="n"/>
      <c r="H49" s="322" t="n"/>
      <c r="I49" s="301" t="n"/>
      <c r="J49" s="301" t="n"/>
    </row>
    <row r="50" ht="15" customHeight="1" s="221">
      <c r="A50" s="313" t="n"/>
      <c r="B50" s="318" t="n"/>
      <c r="C50" s="316" t="n"/>
      <c r="D50" s="316" t="n"/>
      <c r="E50" s="317" t="n"/>
      <c r="F50" s="317" t="n"/>
      <c r="G50" s="318" t="n"/>
      <c r="H50" s="316" t="n"/>
      <c r="I50" s="301" t="n"/>
      <c r="J50" s="301" t="n"/>
    </row>
    <row r="51" ht="15" customHeight="1" s="221">
      <c r="A51" s="319" t="n"/>
      <c r="B51" s="324" t="n"/>
      <c r="C51" s="322" t="n"/>
      <c r="D51" s="322" t="n"/>
      <c r="E51" s="323" t="n"/>
      <c r="F51" s="323" t="n"/>
      <c r="G51" s="324" t="n"/>
      <c r="H51" s="322" t="n"/>
      <c r="I51" s="301" t="n"/>
      <c r="J51" s="301" t="n"/>
    </row>
    <row r="52" ht="15" customHeight="1" s="221">
      <c r="A52" s="313" t="n"/>
      <c r="B52" s="318" t="n"/>
      <c r="C52" s="316" t="n"/>
      <c r="D52" s="316" t="n"/>
      <c r="E52" s="317" t="n"/>
      <c r="F52" s="317" t="n"/>
      <c r="G52" s="318" t="n"/>
      <c r="H52" s="316" t="n"/>
      <c r="I52" s="301" t="n"/>
      <c r="J52" s="301" t="n"/>
    </row>
    <row r="53" ht="15" customHeight="1" s="221">
      <c r="A53" s="319" t="n"/>
      <c r="B53" s="324" t="n"/>
      <c r="C53" s="322" t="n"/>
      <c r="D53" s="322" t="n"/>
      <c r="E53" s="323" t="n"/>
      <c r="F53" s="323" t="n"/>
      <c r="G53" s="324" t="n"/>
      <c r="H53" s="322" t="n"/>
      <c r="I53" s="301" t="n"/>
      <c r="J53" s="301" t="n"/>
    </row>
    <row r="54" ht="15" customHeight="1" s="221">
      <c r="A54" s="313" t="n"/>
      <c r="B54" s="318" t="n"/>
      <c r="C54" s="316" t="n"/>
      <c r="D54" s="316" t="n"/>
      <c r="E54" s="317" t="n"/>
      <c r="F54" s="317" t="n"/>
      <c r="G54" s="318" t="n"/>
      <c r="H54" s="316" t="n"/>
      <c r="I54" s="301" t="n"/>
      <c r="J54" s="301" t="n"/>
    </row>
    <row r="55" ht="15" customHeight="1" s="221">
      <c r="A55" s="319" t="n"/>
      <c r="B55" s="324" t="n"/>
      <c r="C55" s="322" t="n"/>
      <c r="D55" s="322" t="n"/>
      <c r="E55" s="323" t="n"/>
      <c r="F55" s="323" t="n"/>
      <c r="G55" s="324" t="n"/>
      <c r="H55" s="322" t="n"/>
      <c r="I55" s="301" t="n"/>
      <c r="J55" s="301" t="n"/>
    </row>
    <row r="56" ht="15" customHeight="1" s="221">
      <c r="A56" s="313" t="n"/>
      <c r="B56" s="318" t="n"/>
      <c r="C56" s="316" t="n"/>
      <c r="D56" s="316" t="n"/>
      <c r="E56" s="317" t="n"/>
      <c r="F56" s="317" t="n"/>
      <c r="G56" s="318" t="n"/>
      <c r="H56" s="316" t="n"/>
      <c r="I56" s="301" t="n"/>
      <c r="J56" s="301" t="n"/>
    </row>
    <row r="57" ht="15" customHeight="1" s="221">
      <c r="A57" s="319" t="n"/>
      <c r="B57" s="324" t="n"/>
      <c r="C57" s="322" t="n"/>
      <c r="D57" s="322" t="n"/>
      <c r="E57" s="323" t="n"/>
      <c r="F57" s="323" t="n"/>
      <c r="G57" s="324" t="n"/>
      <c r="H57" s="322" t="n"/>
      <c r="I57" s="301" t="n"/>
      <c r="J57" s="301" t="n"/>
    </row>
    <row r="58" ht="15" customHeight="1" s="221">
      <c r="A58" s="313" t="n"/>
      <c r="B58" s="318" t="n"/>
      <c r="C58" s="316" t="n"/>
      <c r="D58" s="316" t="n"/>
      <c r="E58" s="317" t="n"/>
      <c r="F58" s="317" t="n"/>
      <c r="G58" s="318" t="n"/>
      <c r="H58" s="316" t="n"/>
      <c r="I58" s="301" t="n"/>
      <c r="J58" s="301" t="n"/>
    </row>
    <row r="59" ht="15" customHeight="1" s="221">
      <c r="A59" s="319" t="n"/>
      <c r="B59" s="324" t="n"/>
      <c r="C59" s="322" t="n"/>
      <c r="D59" s="322" t="n"/>
      <c r="E59" s="323" t="n"/>
      <c r="F59" s="323" t="n"/>
      <c r="G59" s="324" t="n"/>
      <c r="H59" s="322" t="n"/>
      <c r="I59" s="301" t="n"/>
      <c r="J59" s="301" t="n"/>
    </row>
    <row r="60" ht="15" customHeight="1" s="221">
      <c r="A60" s="313" t="n"/>
      <c r="B60" s="318" t="n"/>
      <c r="C60" s="316" t="n"/>
      <c r="D60" s="316" t="n"/>
      <c r="E60" s="317" t="n"/>
      <c r="F60" s="317" t="n"/>
      <c r="G60" s="318" t="n"/>
      <c r="H60" s="316" t="n"/>
      <c r="I60" s="301" t="n"/>
      <c r="J60" s="301" t="n"/>
    </row>
    <row r="61" ht="15" customHeight="1" s="221">
      <c r="A61" s="319" t="n"/>
      <c r="B61" s="324" t="n"/>
      <c r="C61" s="322" t="n"/>
      <c r="D61" s="322" t="n"/>
      <c r="E61" s="323" t="n"/>
      <c r="F61" s="323" t="n"/>
      <c r="G61" s="324" t="n"/>
      <c r="H61" s="322" t="n"/>
      <c r="I61" s="301" t="n"/>
      <c r="J61" s="301" t="n"/>
    </row>
    <row r="62" ht="15" customHeight="1" s="221">
      <c r="A62" s="313" t="n"/>
      <c r="B62" s="318" t="n"/>
      <c r="C62" s="316" t="n"/>
      <c r="D62" s="316" t="n"/>
      <c r="E62" s="317" t="n"/>
      <c r="F62" s="317" t="n"/>
      <c r="G62" s="318" t="n"/>
      <c r="H62" s="316" t="n"/>
      <c r="I62" s="301" t="n"/>
      <c r="J62" s="301" t="n"/>
    </row>
    <row r="63" ht="15" customHeight="1" s="221">
      <c r="A63" s="319" t="n"/>
      <c r="B63" s="324" t="n"/>
      <c r="C63" s="322" t="n"/>
      <c r="D63" s="322" t="n"/>
      <c r="E63" s="323" t="n"/>
      <c r="F63" s="323" t="n"/>
      <c r="G63" s="324" t="n"/>
      <c r="H63" s="322" t="n"/>
      <c r="I63" s="301" t="n"/>
      <c r="J63" s="301" t="n"/>
    </row>
    <row r="64" ht="15" customHeight="1" s="221">
      <c r="A64" s="313" t="n"/>
      <c r="B64" s="318" t="n"/>
      <c r="C64" s="316" t="n"/>
      <c r="D64" s="316" t="n"/>
      <c r="E64" s="317" t="n"/>
      <c r="F64" s="317" t="n"/>
      <c r="G64" s="318" t="n"/>
      <c r="H64" s="316" t="n"/>
      <c r="I64" s="301" t="n"/>
      <c r="J64" s="301" t="n"/>
    </row>
    <row r="65" ht="15" customHeight="1" s="221">
      <c r="A65" s="319" t="n"/>
      <c r="B65" s="324" t="n"/>
      <c r="C65" s="322" t="n"/>
      <c r="D65" s="322" t="n"/>
      <c r="E65" s="323" t="n"/>
      <c r="F65" s="323" t="n"/>
      <c r="G65" s="324" t="n"/>
      <c r="H65" s="322" t="n"/>
      <c r="I65" s="301" t="n"/>
      <c r="J65" s="301" t="n"/>
    </row>
    <row r="66" ht="15" customHeight="1" s="221">
      <c r="A66" s="313" t="n"/>
      <c r="B66" s="318" t="n"/>
      <c r="C66" s="316" t="n"/>
      <c r="D66" s="316" t="n"/>
      <c r="E66" s="317" t="n"/>
      <c r="F66" s="317" t="n"/>
      <c r="G66" s="318" t="n"/>
      <c r="H66" s="316" t="n"/>
      <c r="I66" s="301" t="n"/>
      <c r="J66" s="301" t="n"/>
    </row>
    <row r="67" ht="15" customHeight="1" s="221">
      <c r="A67" s="319" t="n"/>
      <c r="B67" s="324" t="n"/>
      <c r="C67" s="322" t="n"/>
      <c r="D67" s="322" t="n"/>
      <c r="E67" s="323" t="n"/>
      <c r="F67" s="323" t="n"/>
      <c r="G67" s="324" t="n"/>
      <c r="H67" s="322" t="n"/>
      <c r="I67" s="301" t="n"/>
      <c r="J67" s="301" t="n"/>
    </row>
    <row r="68" ht="15" customHeight="1" s="221">
      <c r="A68" s="313" t="n"/>
      <c r="B68" s="318" t="n"/>
      <c r="C68" s="316" t="n"/>
      <c r="D68" s="316" t="n"/>
      <c r="E68" s="317" t="n"/>
      <c r="F68" s="317" t="n"/>
      <c r="G68" s="318" t="n"/>
      <c r="H68" s="316" t="n"/>
      <c r="I68" s="301" t="n"/>
      <c r="J68" s="301" t="n"/>
    </row>
    <row r="69" ht="15" customHeight="1" s="221">
      <c r="A69" s="319" t="n"/>
      <c r="B69" s="324" t="n"/>
      <c r="C69" s="322" t="n"/>
      <c r="D69" s="322" t="n"/>
      <c r="E69" s="323" t="n"/>
      <c r="F69" s="323" t="n"/>
      <c r="G69" s="324" t="n"/>
      <c r="H69" s="322" t="n"/>
      <c r="I69" s="301" t="n"/>
      <c r="J69" s="301" t="n"/>
    </row>
    <row r="70" ht="15" customHeight="1" s="221">
      <c r="A70" s="313" t="n"/>
      <c r="B70" s="318" t="n"/>
      <c r="C70" s="316" t="n"/>
      <c r="D70" s="316" t="n"/>
      <c r="E70" s="317" t="n"/>
      <c r="F70" s="317" t="n"/>
      <c r="G70" s="318" t="n"/>
      <c r="H70" s="316" t="n"/>
      <c r="I70" s="301" t="n"/>
      <c r="J70" s="301" t="n"/>
    </row>
    <row r="71" ht="15" customHeight="1" s="221">
      <c r="A71" s="319" t="n"/>
      <c r="B71" s="324" t="n"/>
      <c r="C71" s="322" t="n"/>
      <c r="D71" s="322" t="n"/>
      <c r="E71" s="323" t="n"/>
      <c r="F71" s="323" t="n"/>
      <c r="G71" s="324" t="n"/>
      <c r="H71" s="322" t="n"/>
      <c r="I71" s="301" t="n"/>
      <c r="J71" s="301" t="n"/>
    </row>
    <row r="72" ht="15" customHeight="1" s="221">
      <c r="A72" s="313" t="n"/>
      <c r="B72" s="318" t="n"/>
      <c r="C72" s="316" t="n"/>
      <c r="D72" s="316" t="n"/>
      <c r="E72" s="317" t="n"/>
      <c r="F72" s="317" t="n"/>
      <c r="G72" s="318" t="n"/>
      <c r="H72" s="316" t="n"/>
      <c r="I72" s="301" t="n"/>
      <c r="J72" s="301" t="n"/>
    </row>
    <row r="73" ht="15" customHeight="1" s="221">
      <c r="A73" s="319" t="n"/>
      <c r="B73" s="324" t="n"/>
      <c r="C73" s="322" t="n"/>
      <c r="D73" s="322" t="n"/>
      <c r="E73" s="323" t="n"/>
      <c r="F73" s="323" t="n"/>
      <c r="G73" s="324" t="n"/>
      <c r="H73" s="322" t="n"/>
      <c r="I73" s="301" t="n"/>
      <c r="J73" s="301" t="n"/>
    </row>
    <row r="74" ht="15" customHeight="1" s="221">
      <c r="A74" s="313" t="n"/>
      <c r="B74" s="318" t="n"/>
      <c r="C74" s="316" t="n"/>
      <c r="D74" s="316" t="n"/>
      <c r="E74" s="317" t="n"/>
      <c r="F74" s="317" t="n"/>
      <c r="G74" s="318" t="n"/>
      <c r="H74" s="316" t="n"/>
      <c r="I74" s="301" t="n"/>
      <c r="J74" s="301" t="n"/>
    </row>
    <row r="75" ht="15" customHeight="1" s="221">
      <c r="A75" s="319" t="n"/>
      <c r="B75" s="324" t="n"/>
      <c r="C75" s="322" t="n"/>
      <c r="D75" s="322" t="n"/>
      <c r="E75" s="323" t="n"/>
      <c r="F75" s="323" t="n"/>
      <c r="G75" s="324" t="n"/>
      <c r="H75" s="322" t="n"/>
      <c r="I75" s="301" t="n"/>
      <c r="J75" s="301" t="n"/>
    </row>
    <row r="76" ht="15" customHeight="1" s="221">
      <c r="A76" s="313" t="n"/>
      <c r="B76" s="318" t="n"/>
      <c r="C76" s="316" t="n"/>
      <c r="D76" s="316" t="n"/>
      <c r="E76" s="317" t="n"/>
      <c r="F76" s="317" t="n"/>
      <c r="G76" s="318" t="n"/>
      <c r="H76" s="316" t="n"/>
      <c r="I76" s="301" t="n"/>
      <c r="J76" s="301" t="n"/>
    </row>
    <row r="77" ht="15" customHeight="1" s="221">
      <c r="A77" s="319" t="n"/>
      <c r="B77" s="324" t="n"/>
      <c r="C77" s="322" t="n"/>
      <c r="D77" s="322" t="n"/>
      <c r="E77" s="323" t="n"/>
      <c r="F77" s="323" t="n"/>
      <c r="G77" s="324" t="n"/>
      <c r="H77" s="322" t="n"/>
      <c r="I77" s="301" t="n"/>
      <c r="J77" s="301" t="n"/>
    </row>
    <row r="78" ht="15" customHeight="1" s="221">
      <c r="A78" s="313" t="n"/>
      <c r="B78" s="318" t="n"/>
      <c r="C78" s="316" t="n"/>
      <c r="D78" s="316" t="n"/>
      <c r="E78" s="317" t="n"/>
      <c r="F78" s="317" t="n"/>
      <c r="G78" s="318" t="n"/>
      <c r="H78" s="316" t="n"/>
      <c r="I78" s="301" t="n"/>
      <c r="J78" s="301" t="n"/>
    </row>
    <row r="79" ht="15" customHeight="1" s="221">
      <c r="A79" s="319" t="n"/>
      <c r="B79" s="324" t="n"/>
      <c r="C79" s="322" t="n"/>
      <c r="D79" s="322" t="n"/>
      <c r="E79" s="323" t="n"/>
      <c r="F79" s="323" t="n"/>
      <c r="G79" s="324" t="n"/>
      <c r="H79" s="322" t="n"/>
      <c r="I79" s="301" t="n"/>
      <c r="J79" s="301" t="n"/>
    </row>
    <row r="80" ht="15" customHeight="1" s="221">
      <c r="A80" s="313" t="n"/>
      <c r="B80" s="318" t="n"/>
      <c r="C80" s="316" t="n"/>
      <c r="D80" s="316" t="n"/>
      <c r="E80" s="317" t="n"/>
      <c r="F80" s="317" t="n"/>
      <c r="G80" s="318" t="n"/>
      <c r="H80" s="316" t="n"/>
      <c r="I80" s="301" t="n"/>
      <c r="J80" s="301" t="n"/>
    </row>
    <row r="81" ht="15" customHeight="1" s="221">
      <c r="A81" s="319" t="n"/>
      <c r="B81" s="324" t="n"/>
      <c r="C81" s="322" t="n"/>
      <c r="D81" s="322" t="n"/>
      <c r="E81" s="323" t="n"/>
      <c r="F81" s="323" t="n"/>
      <c r="G81" s="324" t="n"/>
      <c r="H81" s="322" t="n"/>
      <c r="I81" s="301" t="n"/>
      <c r="J81" s="301" t="n"/>
    </row>
    <row r="82" ht="15" customHeight="1" s="221">
      <c r="A82" s="313" t="n"/>
      <c r="B82" s="318" t="n"/>
      <c r="C82" s="316" t="n"/>
      <c r="D82" s="316" t="n"/>
      <c r="E82" s="317" t="n"/>
      <c r="F82" s="317" t="n"/>
      <c r="G82" s="318" t="n"/>
      <c r="H82" s="316" t="n"/>
      <c r="I82" s="301" t="n"/>
      <c r="J82" s="301" t="n"/>
    </row>
    <row r="83" ht="15" customHeight="1" s="221">
      <c r="A83" s="319" t="n"/>
      <c r="B83" s="324" t="n"/>
      <c r="C83" s="322" t="n"/>
      <c r="D83" s="322" t="n"/>
      <c r="E83" s="323" t="n"/>
      <c r="F83" s="323" t="n"/>
      <c r="G83" s="324" t="n"/>
      <c r="H83" s="322" t="n"/>
      <c r="I83" s="301" t="n"/>
      <c r="J83" s="301" t="n"/>
    </row>
    <row r="84" ht="15" customHeight="1" s="221">
      <c r="A84" s="313" t="n"/>
      <c r="B84" s="318" t="n"/>
      <c r="C84" s="316" t="n"/>
      <c r="D84" s="316" t="n"/>
      <c r="E84" s="317" t="n"/>
      <c r="F84" s="317" t="n"/>
      <c r="G84" s="318" t="n"/>
      <c r="H84" s="316" t="n"/>
      <c r="I84" s="301" t="n"/>
      <c r="J84" s="301" t="n"/>
    </row>
    <row r="85" ht="15" customHeight="1" s="221">
      <c r="A85" s="319" t="n"/>
      <c r="B85" s="324" t="n"/>
      <c r="C85" s="322" t="n"/>
      <c r="D85" s="322" t="n"/>
      <c r="E85" s="323" t="n"/>
      <c r="F85" s="323" t="n"/>
      <c r="G85" s="324" t="n"/>
      <c r="H85" s="322" t="n"/>
      <c r="I85" s="301" t="n"/>
      <c r="J85" s="301" t="n"/>
    </row>
    <row r="86" ht="15" customHeight="1" s="221">
      <c r="A86" s="313" t="n"/>
      <c r="B86" s="318" t="n"/>
      <c r="C86" s="316" t="n"/>
      <c r="D86" s="316" t="n"/>
      <c r="E86" s="317" t="n"/>
      <c r="F86" s="317" t="n"/>
      <c r="G86" s="318" t="n"/>
      <c r="H86" s="316" t="n"/>
      <c r="I86" s="301" t="n"/>
      <c r="J86" s="301" t="n"/>
    </row>
    <row r="87" ht="15" customHeight="1" s="221">
      <c r="A87" s="319" t="n"/>
      <c r="B87" s="324" t="n"/>
      <c r="C87" s="322" t="n"/>
      <c r="D87" s="322" t="n"/>
      <c r="E87" s="323" t="n"/>
      <c r="F87" s="323" t="n"/>
      <c r="G87" s="324" t="n"/>
      <c r="H87" s="322" t="n"/>
      <c r="I87" s="301" t="n"/>
      <c r="J87" s="301" t="n"/>
    </row>
    <row r="88" ht="15" customHeight="1" s="221">
      <c r="A88" s="313" t="n"/>
      <c r="B88" s="318" t="n"/>
      <c r="C88" s="316" t="n"/>
      <c r="D88" s="316" t="n"/>
      <c r="E88" s="317" t="n"/>
      <c r="F88" s="317" t="n"/>
      <c r="G88" s="318" t="n"/>
      <c r="H88" s="316" t="n"/>
      <c r="I88" s="301" t="n"/>
      <c r="J88" s="301" t="n"/>
    </row>
    <row r="89" ht="15" customHeight="1" s="221">
      <c r="A89" s="319" t="n"/>
      <c r="B89" s="324" t="n"/>
      <c r="C89" s="322" t="n"/>
      <c r="D89" s="322" t="n"/>
      <c r="E89" s="323" t="n"/>
      <c r="F89" s="323" t="n"/>
      <c r="G89" s="324" t="n"/>
      <c r="H89" s="322" t="n"/>
      <c r="I89" s="301" t="n"/>
      <c r="J89" s="301" t="n"/>
    </row>
    <row r="90" ht="15" customHeight="1" s="221">
      <c r="A90" s="313" t="n"/>
      <c r="B90" s="318" t="n"/>
      <c r="C90" s="316" t="n"/>
      <c r="D90" s="316" t="n"/>
      <c r="E90" s="317" t="n"/>
      <c r="F90" s="317" t="n"/>
      <c r="G90" s="318" t="n"/>
      <c r="H90" s="316" t="n"/>
      <c r="I90" s="301" t="n"/>
      <c r="J90" s="301" t="n"/>
    </row>
    <row r="91" ht="15" customHeight="1" s="221">
      <c r="A91" s="319" t="n"/>
      <c r="B91" s="324" t="n"/>
      <c r="C91" s="322" t="n"/>
      <c r="D91" s="322" t="n"/>
      <c r="E91" s="323" t="n"/>
      <c r="F91" s="323" t="n"/>
      <c r="G91" s="324" t="n"/>
      <c r="H91" s="322" t="n"/>
      <c r="I91" s="301" t="n"/>
      <c r="J91" s="301" t="n"/>
    </row>
    <row r="92" ht="15" customHeight="1" s="221">
      <c r="A92" s="313" t="n"/>
      <c r="B92" s="318" t="n"/>
      <c r="C92" s="316" t="n"/>
      <c r="D92" s="316" t="n"/>
      <c r="E92" s="317" t="n"/>
      <c r="F92" s="317" t="n"/>
      <c r="G92" s="318" t="n"/>
      <c r="H92" s="316" t="n"/>
      <c r="I92" s="301" t="n"/>
      <c r="J92" s="301" t="n"/>
    </row>
    <row r="93" ht="15" customHeight="1" s="221">
      <c r="A93" s="319" t="n"/>
      <c r="B93" s="324" t="n"/>
      <c r="C93" s="322" t="n"/>
      <c r="D93" s="322" t="n"/>
      <c r="E93" s="323" t="n"/>
      <c r="F93" s="323" t="n"/>
      <c r="G93" s="324" t="n"/>
      <c r="H93" s="322" t="n"/>
      <c r="I93" s="301" t="n"/>
      <c r="J93" s="301" t="n"/>
    </row>
    <row r="94" ht="15" customHeight="1" s="221">
      <c r="A94" s="313" t="n"/>
      <c r="B94" s="318" t="n"/>
      <c r="C94" s="316" t="n"/>
      <c r="D94" s="316" t="n"/>
      <c r="E94" s="317" t="n"/>
      <c r="F94" s="317" t="n"/>
      <c r="G94" s="318" t="n"/>
      <c r="H94" s="316" t="n"/>
      <c r="I94" s="301" t="n"/>
      <c r="J94" s="301" t="n"/>
    </row>
    <row r="95" ht="15" customHeight="1" s="221">
      <c r="A95" s="319" t="n"/>
      <c r="B95" s="324" t="n"/>
      <c r="C95" s="322" t="n"/>
      <c r="D95" s="322" t="n"/>
      <c r="E95" s="323" t="n"/>
      <c r="F95" s="323" t="n"/>
      <c r="G95" s="324" t="n"/>
      <c r="H95" s="322" t="n"/>
      <c r="I95" s="301" t="n"/>
      <c r="J95" s="301" t="n"/>
    </row>
    <row r="96" ht="15" customHeight="1" s="221">
      <c r="A96" s="313" t="n"/>
      <c r="B96" s="318" t="n"/>
      <c r="C96" s="316" t="n"/>
      <c r="D96" s="316" t="n"/>
      <c r="E96" s="317" t="n"/>
      <c r="F96" s="317" t="n"/>
      <c r="G96" s="318" t="n"/>
      <c r="H96" s="316" t="n"/>
      <c r="I96" s="301" t="n"/>
      <c r="J96" s="301" t="n"/>
    </row>
    <row r="97" ht="15" customHeight="1" s="221">
      <c r="A97" s="319" t="n"/>
      <c r="B97" s="324" t="n"/>
      <c r="C97" s="322" t="n"/>
      <c r="D97" s="322" t="n"/>
      <c r="E97" s="323" t="n"/>
      <c r="F97" s="323" t="n"/>
      <c r="G97" s="324" t="n"/>
      <c r="H97" s="322" t="n"/>
      <c r="I97" s="301" t="n"/>
      <c r="J97" s="301" t="n"/>
    </row>
    <row r="98" ht="15" customHeight="1" s="221">
      <c r="A98" s="313" t="n"/>
      <c r="B98" s="318" t="n"/>
      <c r="C98" s="316" t="n"/>
      <c r="D98" s="316" t="n"/>
      <c r="E98" s="317" t="n"/>
      <c r="F98" s="317" t="n"/>
      <c r="G98" s="318" t="n"/>
      <c r="H98" s="316" t="n"/>
      <c r="I98" s="301" t="n"/>
      <c r="J98" s="301" t="n"/>
    </row>
    <row r="99" ht="15" customHeight="1" s="221">
      <c r="A99" s="319" t="n"/>
      <c r="B99" s="324" t="n"/>
      <c r="C99" s="322" t="n"/>
      <c r="D99" s="322" t="n"/>
      <c r="E99" s="323" t="n"/>
      <c r="F99" s="323" t="n"/>
      <c r="G99" s="324" t="n"/>
      <c r="H99" s="322" t="n"/>
      <c r="I99" s="301" t="n"/>
      <c r="J99" s="301" t="n"/>
    </row>
    <row r="100" ht="15" customHeight="1" s="221">
      <c r="A100" s="313" t="n"/>
      <c r="B100" s="318" t="n"/>
      <c r="C100" s="316" t="n"/>
      <c r="D100" s="316" t="n"/>
      <c r="E100" s="317" t="n"/>
      <c r="F100" s="317" t="n"/>
      <c r="G100" s="318" t="n"/>
      <c r="H100" s="316" t="n"/>
      <c r="I100" s="301" t="n"/>
      <c r="J100" s="301" t="n"/>
    </row>
    <row r="101" ht="15" customHeight="1" s="221">
      <c r="A101" s="319" t="n"/>
      <c r="B101" s="324" t="n"/>
      <c r="C101" s="322" t="n"/>
      <c r="D101" s="322" t="n"/>
      <c r="E101" s="323" t="n"/>
      <c r="F101" s="323" t="n"/>
      <c r="G101" s="324" t="n"/>
      <c r="H101" s="322" t="n"/>
      <c r="I101" s="301" t="n"/>
      <c r="J101" s="301" t="n"/>
    </row>
    <row r="102" ht="15" customHeight="1" s="221">
      <c r="A102" s="313" t="n"/>
      <c r="B102" s="318" t="n"/>
      <c r="C102" s="316" t="n"/>
      <c r="D102" s="316" t="n"/>
      <c r="E102" s="317" t="n"/>
      <c r="F102" s="317" t="n"/>
      <c r="G102" s="318" t="n"/>
      <c r="H102" s="316" t="n"/>
      <c r="I102" s="301" t="n"/>
      <c r="J102" s="301" t="n"/>
    </row>
    <row r="103" ht="15" customHeight="1" s="221">
      <c r="A103" s="319" t="n"/>
      <c r="B103" s="324" t="n"/>
      <c r="C103" s="322" t="n"/>
      <c r="D103" s="322" t="n"/>
      <c r="E103" s="323" t="n"/>
      <c r="F103" s="323" t="n"/>
      <c r="G103" s="324" t="n"/>
      <c r="H103" s="322" t="n"/>
      <c r="I103" s="301" t="n"/>
      <c r="J103" s="301" t="n"/>
    </row>
    <row r="104" ht="15" customHeight="1" s="221">
      <c r="A104" s="325" t="inlineStr">
        <is>
          <t>TOTALES</t>
        </is>
      </c>
      <c r="E104" s="326">
        <f>SUM(E4:E103)</f>
        <v/>
      </c>
      <c r="F104" s="327">
        <f>SUM(F4:F103)</f>
        <v/>
      </c>
      <c r="G104" s="301" t="n"/>
      <c r="H104" s="301" t="n"/>
      <c r="I104" s="301" t="n"/>
      <c r="J104" s="301" t="n"/>
    </row>
    <row r="105" ht="18" customHeight="1" s="221">
      <c r="A105" s="301" t="n"/>
      <c r="B105" s="301" t="n"/>
      <c r="C105" s="301" t="n"/>
      <c r="D105" s="301" t="n"/>
      <c r="E105" s="328" t="n"/>
      <c r="F105" s="301" t="n"/>
      <c r="G105" s="301" t="n"/>
      <c r="H105" s="301" t="n"/>
      <c r="I105" s="301" t="n"/>
      <c r="J105" s="301" t="n"/>
    </row>
    <row r="106" ht="15" customHeight="1" s="221">
      <c r="A106" s="310" t="inlineStr">
        <is>
          <t>📊 RESUMEN DEL MES</t>
        </is>
      </c>
      <c r="D106" s="301" t="n"/>
      <c r="E106" s="328" t="n"/>
      <c r="F106" s="301" t="n"/>
      <c r="G106" s="301" t="n"/>
      <c r="H106" s="301" t="n"/>
      <c r="I106" s="301" t="n"/>
      <c r="J106" s="301" t="n"/>
    </row>
    <row r="107" ht="15" customHeight="1" s="221">
      <c r="A107" s="223" t="inlineStr">
        <is>
          <t>INGRESOS:</t>
        </is>
      </c>
      <c r="B107" s="301" t="n"/>
      <c r="C107" s="328">
        <f>SUMIF(B4:B103,"Ingreso NT",E4:E103)</f>
        <v/>
      </c>
      <c r="D107" s="301" t="n"/>
      <c r="E107" s="328" t="n"/>
      <c r="F107" s="301" t="n"/>
      <c r="G107" s="301" t="n"/>
      <c r="H107" s="301" t="n"/>
      <c r="I107" s="301" t="n"/>
      <c r="J107" s="301" t="n"/>
    </row>
    <row r="108" ht="15" customHeight="1" s="221">
      <c r="A108" s="301" t="inlineStr">
        <is>
          <t xml:space="preserve">  Ingreso NT:</t>
        </is>
      </c>
      <c r="B108" s="301" t="n"/>
      <c r="C108" s="329">
        <f>SUMIF(B4:B103,"Ingreso NT",E4:E103)</f>
        <v/>
      </c>
      <c r="D108" s="301" t="n"/>
      <c r="E108" s="328" t="n"/>
      <c r="F108" s="301" t="n"/>
      <c r="G108" s="301" t="n"/>
      <c r="H108" s="301" t="n"/>
      <c r="I108" s="301" t="n"/>
      <c r="J108" s="301" t="n"/>
    </row>
    <row r="109" ht="15" customHeight="1" s="221">
      <c r="A109" s="301" t="inlineStr">
        <is>
          <t xml:space="preserve">  Ingreso Marco:</t>
        </is>
      </c>
      <c r="B109" s="301" t="n"/>
      <c r="C109" s="330">
        <f>SUMIF(B4:B103,"Ingreso Marco",E4:E103)</f>
        <v/>
      </c>
      <c r="D109" s="301" t="n"/>
      <c r="E109" s="328" t="n"/>
      <c r="F109" s="301" t="n"/>
      <c r="G109" s="301" t="n"/>
      <c r="H109" s="301" t="n"/>
      <c r="I109" s="301" t="n"/>
      <c r="J109" s="301" t="n"/>
    </row>
    <row r="110" ht="15" customHeight="1" s="221">
      <c r="A110" s="301" t="inlineStr">
        <is>
          <t xml:space="preserve">  Ingreso Clara:</t>
        </is>
      </c>
      <c r="B110" s="301" t="n"/>
      <c r="C110" s="331">
        <f>SUMIF(B4:B103,"Ingreso Clara",E4:E103)</f>
        <v/>
      </c>
      <c r="D110" s="301" t="n"/>
      <c r="E110" s="328" t="n"/>
      <c r="F110" s="301" t="n"/>
      <c r="G110" s="301" t="n"/>
      <c r="H110" s="301" t="n"/>
      <c r="I110" s="301" t="n"/>
      <c r="J110" s="301" t="n"/>
    </row>
    <row r="111" ht="15" customHeight="1" s="221">
      <c r="A111" s="301" t="inlineStr">
        <is>
          <t xml:space="preserve">  Devolución Fam → NT:</t>
        </is>
      </c>
      <c r="B111" s="301" t="n"/>
      <c r="C111" s="332">
        <f>SUMIF(B4:B103,"Devolución Familia → NT",E4:E103)</f>
        <v/>
      </c>
      <c r="D111" s="301" t="n"/>
      <c r="E111" s="328" t="n"/>
      <c r="F111" s="301" t="n"/>
      <c r="G111" s="301" t="n"/>
      <c r="H111" s="301" t="n"/>
      <c r="I111" s="301" t="n"/>
      <c r="J111" s="301" t="n"/>
    </row>
    <row r="112" ht="15" customHeight="1" s="221">
      <c r="A112" s="223" t="inlineStr">
        <is>
          <t xml:space="preserve">  TOTAL INGRESOS:</t>
        </is>
      </c>
      <c r="B112" s="301" t="n"/>
      <c r="C112" s="333">
        <f>SUM(C108:C111)</f>
        <v/>
      </c>
      <c r="D112" s="301" t="n"/>
      <c r="E112" s="328" t="n"/>
      <c r="F112" s="301" t="n"/>
      <c r="G112" s="301" t="n"/>
      <c r="H112" s="301" t="n"/>
      <c r="I112" s="301" t="n"/>
      <c r="J112" s="301" t="n"/>
    </row>
    <row r="113" ht="15" customHeight="1" s="221">
      <c r="A113" s="301" t="inlineStr">
        <is>
          <t>EGRESOS:</t>
        </is>
      </c>
      <c r="B113" s="301" t="n"/>
      <c r="C113" s="301" t="n"/>
      <c r="D113" s="301" t="n"/>
      <c r="E113" s="328" t="n"/>
      <c r="F113" s="301" t="n"/>
      <c r="G113" s="301" t="n"/>
      <c r="H113" s="301" t="n"/>
      <c r="I113" s="301" t="n"/>
      <c r="J113" s="301" t="n"/>
    </row>
    <row r="114" ht="15" customHeight="1" s="221">
      <c r="A114" s="223" t="inlineStr">
        <is>
          <t>EGRESOS:</t>
        </is>
      </c>
      <c r="B114" s="301" t="n"/>
      <c r="C114" s="328">
        <f>SUMIF(B4:B103,"Egreso NT",F4:F103)</f>
        <v/>
      </c>
      <c r="D114" s="301" t="n"/>
      <c r="E114" s="328" t="n"/>
      <c r="F114" s="301" t="n"/>
      <c r="G114" s="301" t="n"/>
      <c r="H114" s="301" t="n"/>
      <c r="I114" s="301" t="n"/>
      <c r="J114" s="301" t="n"/>
    </row>
    <row r="115" ht="15" customHeight="1" s="221">
      <c r="A115" s="301" t="inlineStr">
        <is>
          <t xml:space="preserve">  Egreso NT:</t>
        </is>
      </c>
      <c r="B115" s="301" t="n"/>
      <c r="C115" s="334">
        <f>SUMIF(B4:B103,"Egreso NT",F4:F103)</f>
        <v/>
      </c>
      <c r="D115" s="301" t="n"/>
      <c r="E115" s="328" t="n"/>
      <c r="F115" s="301" t="n"/>
      <c r="G115" s="301" t="n"/>
      <c r="H115" s="301" t="n"/>
      <c r="I115" s="301" t="n"/>
      <c r="J115" s="301" t="n"/>
    </row>
    <row r="116" ht="15" customHeight="1" s="221">
      <c r="A116" s="301" t="inlineStr">
        <is>
          <t xml:space="preserve">  Egreso Familiar:</t>
        </is>
      </c>
      <c r="B116" s="301" t="n"/>
      <c r="C116" s="335">
        <f>SUMIF(B4:B103,"Egreso Familiar",F4:F103)</f>
        <v/>
      </c>
      <c r="D116" s="301" t="n"/>
      <c r="E116" s="328" t="n"/>
      <c r="F116" s="301" t="n"/>
      <c r="G116" s="301" t="n"/>
      <c r="H116" s="301" t="n"/>
      <c r="I116" s="301" t="n"/>
      <c r="J116" s="301" t="n"/>
    </row>
    <row r="117" ht="15" customHeight="1" s="221">
      <c r="A117" s="301" t="inlineStr">
        <is>
          <t xml:space="preserve">  Préstamo NT → Fam:</t>
        </is>
      </c>
      <c r="B117" s="301" t="n"/>
      <c r="C117" s="336">
        <f>SUMIF(B4:B103,"Préstamo NT → Familia",F4:F103)</f>
        <v/>
      </c>
      <c r="D117" s="301" t="n"/>
      <c r="E117" s="328" t="n"/>
      <c r="F117" s="301" t="n"/>
      <c r="G117" s="301" t="n"/>
      <c r="H117" s="301" t="n"/>
      <c r="I117" s="301" t="n"/>
      <c r="J117" s="301" t="n"/>
    </row>
    <row r="118" ht="15" customHeight="1" s="221">
      <c r="A118" s="223" t="inlineStr">
        <is>
          <t xml:space="preserve">  TOTAL EGRESOS:</t>
        </is>
      </c>
      <c r="B118" s="301" t="n"/>
      <c r="C118" s="337">
        <f>SUM(C115:C117)</f>
        <v/>
      </c>
      <c r="D118" s="301" t="n"/>
      <c r="E118" s="328" t="n"/>
      <c r="F118" s="301" t="n"/>
      <c r="G118" s="301" t="n"/>
      <c r="H118" s="301" t="n"/>
      <c r="I118" s="301" t="n"/>
      <c r="J118" s="301" t="n"/>
    </row>
    <row r="119" ht="15" customHeight="1" s="221">
      <c r="A119" s="301" t="n"/>
      <c r="B119" s="301" t="n"/>
      <c r="C119" s="301" t="n"/>
      <c r="D119" s="301" t="n"/>
      <c r="E119" s="328" t="n"/>
      <c r="F119" s="301" t="n"/>
      <c r="G119" s="301" t="n"/>
      <c r="H119" s="301" t="n"/>
      <c r="I119" s="301" t="n"/>
      <c r="J119" s="301" t="n"/>
    </row>
    <row r="120" ht="15" customHeight="1" s="221">
      <c r="A120" s="223" t="inlineStr">
        <is>
          <t>SALDO PRÉSTAMO NT → FAM:</t>
        </is>
      </c>
      <c r="B120" s="301" t="n"/>
      <c r="C120" s="338">
        <f>C117-C111</f>
        <v/>
      </c>
      <c r="D120" s="301" t="n"/>
      <c r="E120" s="328" t="n"/>
      <c r="F120" s="301" t="n"/>
      <c r="G120" s="301" t="n"/>
      <c r="H120" s="301" t="n"/>
      <c r="I120" s="301" t="n"/>
      <c r="J120" s="301" t="n"/>
    </row>
    <row r="121" ht="15" customHeight="1" s="221">
      <c r="A121" s="339" t="inlineStr">
        <is>
          <t>(Prestado - Devuelto)</t>
        </is>
      </c>
      <c r="B121" s="301" t="n"/>
      <c r="C121" s="301" t="n"/>
      <c r="D121" s="301" t="n"/>
      <c r="E121" s="328" t="n"/>
      <c r="F121" s="301" t="n"/>
      <c r="G121" s="301" t="n"/>
      <c r="H121" s="301" t="n"/>
      <c r="I121" s="301" t="n"/>
      <c r="J121" s="301" t="n"/>
    </row>
    <row r="122" ht="15" customHeight="1" s="221">
      <c r="A122" s="301" t="n"/>
      <c r="B122" s="301" t="n"/>
      <c r="C122" s="301" t="n"/>
      <c r="D122" s="301" t="n"/>
      <c r="E122" s="328" t="n"/>
      <c r="F122" s="301" t="n"/>
      <c r="G122" s="301" t="n"/>
      <c r="H122" s="301" t="n"/>
      <c r="I122" s="301" t="n"/>
      <c r="J122" s="301" t="n"/>
    </row>
    <row r="123" ht="15" customHeight="1" s="221">
      <c r="A123" s="301" t="n"/>
      <c r="B123" s="301" t="n"/>
      <c r="C123" s="301" t="n"/>
      <c r="D123" s="301" t="n"/>
      <c r="E123" s="328" t="n"/>
      <c r="F123" s="301" t="n"/>
      <c r="G123" s="301" t="n"/>
      <c r="H123" s="301" t="n"/>
      <c r="I123" s="301" t="n"/>
      <c r="J123" s="301" t="n"/>
    </row>
    <row r="124" ht="15" customHeight="1" s="221">
      <c r="A124" s="301" t="n"/>
      <c r="B124" s="301" t="n"/>
      <c r="C124" s="301" t="n"/>
      <c r="D124" s="301" t="n"/>
      <c r="E124" s="328" t="n"/>
      <c r="F124" s="301" t="n"/>
      <c r="G124" s="301" t="n"/>
      <c r="H124" s="301" t="n"/>
      <c r="I124" s="301" t="n"/>
      <c r="J124" s="301" t="n"/>
    </row>
    <row r="125" ht="15" customHeight="1" s="221">
      <c r="A125" s="301" t="n"/>
      <c r="B125" s="301" t="n"/>
      <c r="C125" s="301" t="n"/>
      <c r="D125" s="301" t="n"/>
      <c r="E125" s="328" t="n"/>
      <c r="F125" s="301" t="n"/>
      <c r="G125" s="301" t="n"/>
      <c r="H125" s="301" t="n"/>
      <c r="I125" s="301" t="n"/>
      <c r="J125" s="301" t="n"/>
    </row>
    <row r="126" ht="15" customHeight="1" s="221">
      <c r="A126" s="301" t="n"/>
      <c r="B126" s="301" t="n"/>
      <c r="C126" s="301" t="n"/>
      <c r="D126" s="301" t="n"/>
      <c r="E126" s="328" t="n"/>
      <c r="F126" s="301" t="n"/>
      <c r="G126" s="301" t="n"/>
      <c r="H126" s="301" t="n"/>
      <c r="I126" s="301" t="n"/>
      <c r="J126" s="301" t="n"/>
    </row>
    <row r="127" ht="15" customHeight="1" s="221">
      <c r="A127" s="301" t="n"/>
      <c r="B127" s="301" t="n"/>
      <c r="C127" s="301" t="n"/>
      <c r="D127" s="301" t="n"/>
      <c r="E127" s="328" t="n"/>
      <c r="F127" s="301" t="n"/>
      <c r="G127" s="301" t="n"/>
      <c r="H127" s="301" t="n"/>
      <c r="I127" s="301" t="n"/>
      <c r="J127" s="301" t="n"/>
    </row>
    <row r="128" ht="15" customHeight="1" s="221">
      <c r="A128" s="301" t="n"/>
      <c r="B128" s="301" t="n"/>
      <c r="C128" s="301" t="n"/>
      <c r="D128" s="301" t="n"/>
      <c r="E128" s="328" t="n"/>
      <c r="F128" s="301" t="n"/>
      <c r="G128" s="301" t="n"/>
      <c r="H128" s="301" t="n"/>
      <c r="I128" s="301" t="n"/>
      <c r="J128" s="301" t="n"/>
    </row>
    <row r="129" ht="15" customHeight="1" s="221">
      <c r="A129" s="301" t="n"/>
      <c r="B129" s="301" t="n"/>
      <c r="C129" s="301" t="n"/>
      <c r="D129" s="301" t="n"/>
      <c r="E129" s="328" t="n"/>
      <c r="F129" s="301" t="n"/>
      <c r="G129" s="301" t="n"/>
      <c r="H129" s="301" t="n"/>
      <c r="I129" s="301" t="n"/>
      <c r="J129" s="301" t="n"/>
    </row>
    <row r="130" ht="15" customHeight="1" s="221">
      <c r="A130" s="301" t="n"/>
      <c r="B130" s="301" t="n"/>
      <c r="C130" s="301" t="n"/>
      <c r="D130" s="301" t="n"/>
      <c r="E130" s="328" t="n"/>
      <c r="F130" s="301" t="n"/>
      <c r="G130" s="301" t="n"/>
      <c r="H130" s="301" t="n"/>
      <c r="I130" s="301" t="n"/>
      <c r="J130" s="301" t="n"/>
    </row>
    <row r="131" ht="15" customHeight="1" s="221">
      <c r="A131" s="301" t="n"/>
      <c r="B131" s="301" t="n"/>
      <c r="C131" s="301" t="n"/>
      <c r="D131" s="301" t="n"/>
      <c r="E131" s="328" t="n"/>
      <c r="F131" s="301" t="n"/>
      <c r="G131" s="301" t="n"/>
      <c r="H131" s="301" t="n"/>
      <c r="I131" s="301" t="n"/>
      <c r="J131" s="301" t="n"/>
    </row>
    <row r="132" ht="15" customHeight="1" s="221">
      <c r="A132" s="301" t="n"/>
      <c r="B132" s="301" t="n"/>
      <c r="C132" s="301" t="n"/>
      <c r="D132" s="301" t="n"/>
      <c r="E132" s="328" t="n"/>
      <c r="F132" s="301" t="n"/>
      <c r="G132" s="301" t="n"/>
      <c r="H132" s="301" t="n"/>
      <c r="I132" s="301" t="n"/>
      <c r="J132" s="301" t="n"/>
    </row>
    <row r="133" ht="15" customHeight="1" s="221">
      <c r="A133" s="301" t="n"/>
      <c r="B133" s="301" t="n"/>
      <c r="C133" s="301" t="n"/>
      <c r="D133" s="301" t="n"/>
      <c r="E133" s="328" t="n"/>
      <c r="F133" s="301" t="n"/>
      <c r="G133" s="301" t="n"/>
      <c r="H133" s="301" t="n"/>
      <c r="I133" s="301" t="n"/>
      <c r="J133" s="301" t="n"/>
    </row>
    <row r="134" ht="15" customHeight="1" s="221">
      <c r="A134" s="301" t="n"/>
      <c r="B134" s="301" t="n"/>
      <c r="C134" s="301" t="n"/>
      <c r="D134" s="301" t="n"/>
      <c r="E134" s="328" t="n"/>
      <c r="F134" s="301" t="n"/>
      <c r="G134" s="301" t="n"/>
      <c r="H134" s="301" t="n"/>
      <c r="I134" s="301" t="n"/>
      <c r="J134" s="301" t="n"/>
    </row>
    <row r="135" ht="15" customHeight="1" s="221">
      <c r="A135" s="301" t="n"/>
      <c r="B135" s="301" t="n"/>
      <c r="C135" s="301" t="n"/>
      <c r="D135" s="301" t="n"/>
      <c r="E135" s="328" t="n"/>
      <c r="F135" s="301" t="n"/>
      <c r="G135" s="301" t="n"/>
      <c r="H135" s="301" t="n"/>
      <c r="I135" s="301" t="n"/>
      <c r="J135" s="301" t="n"/>
    </row>
    <row r="136" ht="15" customHeight="1" s="221">
      <c r="A136" s="301" t="n"/>
      <c r="B136" s="301" t="n"/>
      <c r="C136" s="301" t="n"/>
      <c r="D136" s="301" t="n"/>
      <c r="E136" s="328" t="n"/>
      <c r="F136" s="301" t="n"/>
      <c r="G136" s="301" t="n"/>
      <c r="H136" s="301" t="n"/>
      <c r="I136" s="301" t="n"/>
      <c r="J136" s="301" t="n"/>
    </row>
    <row r="137" ht="15" customHeight="1" s="221">
      <c r="A137" s="301" t="n"/>
      <c r="B137" s="301" t="n"/>
      <c r="C137" s="301" t="n"/>
      <c r="D137" s="301" t="n"/>
      <c r="E137" s="328" t="n"/>
      <c r="F137" s="301" t="n"/>
      <c r="G137" s="301" t="n"/>
      <c r="H137" s="301" t="n"/>
      <c r="I137" s="301" t="n"/>
      <c r="J137" s="301" t="n"/>
    </row>
    <row r="138" ht="15" customHeight="1" s="221">
      <c r="A138" s="301" t="n"/>
      <c r="B138" s="301" t="n"/>
      <c r="C138" s="301" t="n"/>
      <c r="D138" s="301" t="n"/>
      <c r="E138" s="328" t="n"/>
      <c r="F138" s="301" t="n"/>
      <c r="G138" s="301" t="n"/>
      <c r="H138" s="301" t="n"/>
      <c r="I138" s="301" t="n"/>
      <c r="J138" s="301" t="n"/>
    </row>
    <row r="139" ht="15" customHeight="1" s="221">
      <c r="A139" s="301" t="n"/>
      <c r="B139" s="301" t="n"/>
      <c r="C139" s="301" t="n"/>
      <c r="D139" s="301" t="n"/>
      <c r="E139" s="301" t="n"/>
      <c r="F139" s="301" t="n"/>
      <c r="G139" s="301" t="n"/>
      <c r="H139" s="301" t="n"/>
      <c r="I139" s="301" t="n"/>
      <c r="J139" s="301" t="n"/>
    </row>
    <row r="140" ht="15" customHeight="1" s="221">
      <c r="A140" s="301" t="n"/>
      <c r="B140" s="301" t="n"/>
      <c r="C140" s="301" t="n"/>
      <c r="D140" s="301" t="n"/>
      <c r="E140" s="301" t="n"/>
      <c r="F140" s="301" t="n"/>
      <c r="G140" s="301" t="n"/>
      <c r="H140" s="301" t="n"/>
      <c r="I140" s="301" t="n"/>
      <c r="J140" s="301" t="n"/>
    </row>
    <row r="141" ht="15" customHeight="1" s="221">
      <c r="A141" s="301" t="n"/>
      <c r="B141" s="301" t="n"/>
      <c r="C141" s="301" t="n"/>
      <c r="D141" s="301" t="n"/>
      <c r="E141" s="301" t="n"/>
      <c r="F141" s="301" t="n"/>
      <c r="G141" s="301" t="n"/>
      <c r="H141" s="301" t="n"/>
      <c r="I141" s="301" t="n"/>
      <c r="J141" s="301" t="n"/>
    </row>
    <row r="142" ht="15" customHeight="1" s="221">
      <c r="A142" s="301" t="n"/>
      <c r="B142" s="301" t="n"/>
      <c r="C142" s="301" t="n"/>
      <c r="D142" s="301" t="n"/>
      <c r="E142" s="301" t="n"/>
      <c r="F142" s="301" t="n"/>
      <c r="G142" s="301" t="n"/>
      <c r="H142" s="301" t="n"/>
      <c r="I142" s="301" t="n"/>
      <c r="J142" s="301" t="n"/>
    </row>
    <row r="143" ht="15" customHeight="1" s="221">
      <c r="A143" s="301" t="n"/>
      <c r="B143" s="301" t="n"/>
      <c r="C143" s="301" t="n"/>
      <c r="D143" s="301" t="n"/>
      <c r="E143" s="301" t="n"/>
      <c r="F143" s="301" t="n"/>
      <c r="G143" s="301" t="n"/>
      <c r="H143" s="301" t="n"/>
      <c r="I143" s="301" t="n"/>
      <c r="J143" s="301" t="n"/>
    </row>
    <row r="144" ht="15" customHeight="1" s="221">
      <c r="A144" s="301" t="n"/>
      <c r="B144" s="301" t="n"/>
      <c r="C144" s="301" t="n"/>
      <c r="D144" s="301" t="n"/>
      <c r="E144" s="301" t="n"/>
      <c r="F144" s="301" t="n"/>
      <c r="G144" s="301" t="n"/>
      <c r="H144" s="301" t="n"/>
      <c r="I144" s="301" t="n"/>
      <c r="J144" s="301" t="n"/>
    </row>
    <row r="145" ht="15" customHeight="1" s="221">
      <c r="A145" s="301" t="n"/>
      <c r="B145" s="301" t="n"/>
      <c r="C145" s="301" t="n"/>
      <c r="D145" s="301" t="n"/>
      <c r="E145" s="301" t="n"/>
      <c r="F145" s="301" t="n"/>
      <c r="G145" s="301" t="n"/>
      <c r="H145" s="301" t="n"/>
      <c r="I145" s="301" t="n"/>
      <c r="J145" s="301" t="n"/>
    </row>
    <row r="146" ht="15" customHeight="1" s="221">
      <c r="A146" s="301" t="n"/>
      <c r="B146" s="301" t="n"/>
      <c r="C146" s="301" t="n"/>
      <c r="D146" s="301" t="n"/>
      <c r="E146" s="301" t="n"/>
      <c r="F146" s="301" t="n"/>
      <c r="G146" s="301" t="n"/>
      <c r="H146" s="301" t="n"/>
      <c r="I146" s="301" t="n"/>
      <c r="J146" s="301" t="n"/>
    </row>
    <row r="147" ht="15" customHeight="1" s="221">
      <c r="A147" s="301" t="n"/>
      <c r="B147" s="301" t="n"/>
      <c r="C147" s="301" t="n"/>
      <c r="D147" s="301" t="n"/>
      <c r="E147" s="301" t="n"/>
      <c r="F147" s="301" t="n"/>
      <c r="G147" s="301" t="n"/>
      <c r="H147" s="301" t="n"/>
      <c r="I147" s="301" t="n"/>
      <c r="J147" s="301" t="n"/>
    </row>
    <row r="148" ht="15" customHeight="1" s="221">
      <c r="A148" s="301" t="n"/>
      <c r="B148" s="301" t="n"/>
      <c r="C148" s="301" t="n"/>
      <c r="D148" s="301" t="n"/>
      <c r="E148" s="301" t="n"/>
      <c r="F148" s="301" t="n"/>
      <c r="G148" s="301" t="n"/>
      <c r="H148" s="301" t="n"/>
      <c r="I148" s="301" t="n"/>
      <c r="J148" s="301" t="n"/>
    </row>
    <row r="149" ht="15" customHeight="1" s="221">
      <c r="A149" s="301" t="n"/>
      <c r="B149" s="301" t="n"/>
      <c r="C149" s="301" t="n"/>
      <c r="D149" s="301" t="n"/>
      <c r="E149" s="301" t="n"/>
      <c r="F149" s="301" t="n"/>
      <c r="G149" s="301" t="n"/>
      <c r="H149" s="301" t="n"/>
      <c r="I149" s="301" t="n"/>
      <c r="J149" s="301" t="n"/>
    </row>
    <row r="150" ht="15" customHeight="1" s="221">
      <c r="A150" s="301" t="n"/>
      <c r="B150" s="301" t="n"/>
      <c r="C150" s="301" t="n"/>
      <c r="D150" s="301" t="n"/>
      <c r="E150" s="301" t="n"/>
      <c r="F150" s="301" t="n"/>
      <c r="G150" s="301" t="n"/>
      <c r="H150" s="301" t="n"/>
      <c r="I150" s="301" t="n"/>
      <c r="J150" s="301" t="n"/>
    </row>
  </sheetData>
  <mergeCells count="3">
    <mergeCell ref="A104:D104"/>
    <mergeCell ref="A106:C106"/>
    <mergeCell ref="A1:H1"/>
  </mergeCells>
  <dataValidations count="2">
    <dataValidation sqref="B4:B103" showDropDown="0" showInputMessage="0" showErrorMessage="0" allowBlank="1" type="list" errorStyle="stop" operator="between">
      <formula1>"Familiar,NeuroTEA"</formula1>
      <formula2>0</formula2>
    </dataValidation>
    <dataValidation sqref="C4:C103" showDropDown="0" showInputMessage="0" showErrorMessage="0" allowBlank="1" type="list" errorStyle="stop" operator="between">
      <formula1>"Combustible,Supermercado,Farmacia,Recreación,Gastos Varios,Reserva Fam 1,Reserva Fam 2,Reserva Fam 3,Insumos NT,Papelería NT,Mantenimiento NT,Festejos NT,Gastos Cursos NT,Gastos Varios NT,Reserva NT 1,Reserva NT 2,Reserva NT 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tabColor rgb="FFC0392B"/>
    <outlinePr summaryBelow="1" summaryRight="1"/>
    <pageSetUpPr fitToPage="0"/>
  </sheetPr>
  <dimension ref="A1:L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24" customWidth="1" style="220" min="1" max="1"/>
    <col width="12" customWidth="1" style="220" min="2" max="2"/>
    <col width="14" customWidth="1" style="220" min="3" max="4"/>
    <col width="2" customWidth="1" style="220" min="5" max="6"/>
    <col width="24" customWidth="1" style="220" min="7" max="7"/>
    <col width="12" customWidth="1" style="220" min="8" max="8"/>
    <col width="14" customWidth="1" style="220" min="9" max="10"/>
  </cols>
  <sheetData>
    <row r="1" ht="34.5" customHeight="1" s="221">
      <c r="A1" s="340" t="inlineStr">
        <is>
          <t>📊 CONTROL FINANCIERO - OCTUBRE 2026</t>
        </is>
      </c>
      <c r="K1" s="301" t="n"/>
      <c r="L1" s="301" t="n"/>
    </row>
    <row r="2" ht="15" customHeight="1" s="221">
      <c r="A2" s="301" t="n"/>
      <c r="B2" s="301" t="n"/>
      <c r="C2" s="301" t="n"/>
      <c r="D2" s="301" t="n"/>
      <c r="E2" s="301" t="n"/>
      <c r="F2" s="301" t="n"/>
      <c r="G2" s="301" t="n"/>
      <c r="H2" s="301" t="n"/>
      <c r="I2" s="301" t="n"/>
      <c r="J2" s="301" t="n"/>
      <c r="K2" s="301" t="n"/>
      <c r="L2" s="301" t="n"/>
    </row>
    <row r="3" ht="15" customHeight="1" s="221">
      <c r="A3" s="341" t="inlineStr">
        <is>
          <t>TOTAL INGRESOS</t>
        </is>
      </c>
      <c r="C3" s="301" t="n"/>
      <c r="D3" s="342" t="inlineStr">
        <is>
          <t>GASTOS PAGADOS</t>
        </is>
      </c>
      <c r="F3" s="301" t="n"/>
      <c r="G3" s="343" t="inlineStr">
        <is>
          <t>GASTOS PENDIENTES</t>
        </is>
      </c>
      <c r="I3" s="301" t="n"/>
      <c r="J3" s="344" t="inlineStr">
        <is>
          <t>BALANCE</t>
        </is>
      </c>
      <c r="K3" s="301" t="n"/>
      <c r="L3" s="301" t="n"/>
    </row>
    <row r="4" ht="22.5" customHeight="1" s="221">
      <c r="A4" s="345">
        <f>D26+J12</f>
        <v/>
      </c>
      <c r="C4" s="328" t="n"/>
      <c r="D4" s="346">
        <f>D65+I58</f>
        <v/>
      </c>
      <c r="F4" s="301" t="n"/>
      <c r="G4" s="347">
        <f>D66+I59</f>
        <v/>
      </c>
      <c r="I4" s="301" t="n"/>
      <c r="J4" s="348">
        <f>A4-D4-G4</f>
        <v/>
      </c>
      <c r="K4" s="301" t="n"/>
      <c r="L4" s="301" t="n"/>
    </row>
    <row r="5" ht="15" customHeight="1" s="221">
      <c r="A5" s="301" t="n"/>
      <c r="B5" s="301" t="n"/>
      <c r="C5" s="301" t="n"/>
      <c r="D5" s="301" t="n"/>
      <c r="E5" s="301" t="n"/>
      <c r="F5" s="301" t="n"/>
      <c r="G5" s="301" t="n"/>
      <c r="H5" s="301" t="n"/>
      <c r="I5" s="301" t="n"/>
      <c r="J5" s="301" t="n"/>
      <c r="K5" s="301" t="n"/>
      <c r="L5" s="301" t="n"/>
    </row>
    <row r="6" ht="15.75" customHeight="1" s="221">
      <c r="A6" s="349" t="inlineStr">
        <is>
          <t>⚠️ PRÉSTAMO NT → FAMILIA</t>
        </is>
      </c>
      <c r="D6" s="350">
        <f>SUMIF('Ing-Egr Octubre 2026'!B4:B103,"Préstamo NT → Familia",'Ing-Egr Octubre 2026'!F4:F103)-SUMIF('Ing-Egr Octubre 2026'!B4:B103,"Devolución Familia → NT",'Ing-Egr Octubre 2026'!E4:E103)</f>
        <v/>
      </c>
      <c r="E6" s="301" t="n"/>
      <c r="F6" s="351" t="inlineStr">
        <is>
          <t>Estado:</t>
        </is>
      </c>
      <c r="G6" s="351">
        <f>IF(D6=0,"🟢 SANO","🔴 FUGA")</f>
        <v/>
      </c>
      <c r="H6" s="301" t="n"/>
      <c r="I6" s="339" t="inlineStr">
        <is>
          <t>(Ideal = 0)</t>
        </is>
      </c>
      <c r="J6" s="301" t="n"/>
      <c r="K6" s="301" t="n"/>
      <c r="L6" s="301" t="n"/>
    </row>
    <row r="7" ht="15" customHeight="1" s="221">
      <c r="A7" s="301" t="n"/>
      <c r="B7" s="301" t="n"/>
      <c r="C7" s="301" t="n"/>
      <c r="D7" s="301" t="n"/>
      <c r="E7" s="301" t="n"/>
      <c r="F7" s="301" t="n"/>
      <c r="G7" s="301" t="n"/>
      <c r="H7" s="301" t="n"/>
      <c r="I7" s="301" t="n"/>
      <c r="J7" s="301" t="n"/>
      <c r="K7" s="301" t="n"/>
      <c r="L7" s="301" t="n"/>
    </row>
    <row r="8" ht="15" customHeight="1" s="221">
      <c r="A8" s="352" t="inlineStr">
        <is>
          <t>💵 INGRESOS FAMILIA</t>
        </is>
      </c>
      <c r="B8" s="256" t="n"/>
      <c r="C8" s="256" t="n"/>
      <c r="D8" s="353" t="n"/>
      <c r="E8" s="354" t="n"/>
      <c r="F8" s="354" t="n"/>
      <c r="G8" s="355" t="inlineStr">
        <is>
          <t>💵 INGRESOS NEUROTEA</t>
        </is>
      </c>
      <c r="H8" s="256" t="n"/>
      <c r="I8" s="256" t="n"/>
      <c r="J8" s="353" t="n"/>
      <c r="K8" s="301" t="n"/>
      <c r="L8" s="301" t="n"/>
    </row>
    <row r="9" ht="15" customHeight="1" s="221">
      <c r="A9" s="356" t="inlineStr">
        <is>
          <t>MARCO ITAIPU</t>
        </is>
      </c>
      <c r="B9" s="353" t="n"/>
      <c r="C9" s="357" t="inlineStr">
        <is>
          <t>Fecha</t>
        </is>
      </c>
      <c r="D9" s="358" t="inlineStr">
        <is>
          <t>Monto</t>
        </is>
      </c>
      <c r="E9" s="359" t="n"/>
      <c r="F9" s="360" t="n"/>
      <c r="G9" s="361" t="inlineStr">
        <is>
          <t>Ingreso del Mes</t>
        </is>
      </c>
      <c r="H9" s="256" t="n"/>
      <c r="I9" s="353" t="n"/>
      <c r="J9" s="362" t="inlineStr">
        <is>
          <t>Monto</t>
        </is>
      </c>
      <c r="K9" s="301" t="n"/>
      <c r="L9" s="301" t="n"/>
    </row>
    <row r="10" ht="15" customHeight="1" s="221">
      <c r="A10" s="363" t="inlineStr">
        <is>
          <t>Salario Mensual</t>
        </is>
      </c>
      <c r="B10" s="364" t="n"/>
      <c r="C10" s="365" t="n"/>
      <c r="D10" s="366">
        <f>SUMIFS('Ing-Egr Octubre 2026'!E4:E103,'Ing-Egr Octubre 2026'!B4:B103,"Ingreso Marco",'Ing-Egr Octubre 2026'!C4:C103,A10)</f>
        <v/>
      </c>
      <c r="E10" s="359" t="n"/>
      <c r="F10" s="360" t="n"/>
      <c r="G10" s="367" t="inlineStr">
        <is>
          <t>(Suma desde pestaña Ing-Egr Octubre)</t>
        </is>
      </c>
      <c r="H10" s="256" t="n"/>
      <c r="I10" s="353" t="n"/>
      <c r="J10" s="368">
        <f>SUMIF('Ing-Egr Octubre 2026'!B4:B103,"Ingreso NT",'Ing-Egr Octubre 2026'!E4:E103)</f>
        <v/>
      </c>
      <c r="K10" s="301" t="n"/>
      <c r="L10" s="301" t="n"/>
    </row>
    <row r="11" ht="15" customHeight="1" s="221">
      <c r="A11" s="369" t="inlineStr">
        <is>
          <t>Vacaciones</t>
        </is>
      </c>
      <c r="B11" s="370" t="n"/>
      <c r="C11" s="371" t="n"/>
      <c r="D11" s="366">
        <f>SUMIFS('Ing-Egr Octubre 2026'!E4:E103,'Ing-Egr Octubre 2026'!B4:B103,"Ingreso Marco",'Ing-Egr Octubre 2026'!C4:C103,A11)</f>
        <v/>
      </c>
      <c r="E11" s="359" t="n"/>
      <c r="F11" s="360" t="n"/>
      <c r="G11" s="359" t="n"/>
      <c r="H11" s="301" t="n"/>
      <c r="I11" s="301" t="n"/>
      <c r="J11" s="301" t="n"/>
      <c r="K11" s="301" t="n"/>
      <c r="L11" s="301" t="n"/>
    </row>
    <row r="12" ht="15" customHeight="1" s="221">
      <c r="A12" s="363" t="inlineStr">
        <is>
          <t>Aguinaldo</t>
        </is>
      </c>
      <c r="B12" s="364" t="n"/>
      <c r="C12" s="365" t="n"/>
      <c r="D12" s="366">
        <f>SUMIFS('Ing-Egr Octubre 2026'!E4:E103,'Ing-Egr Octubre 2026'!B4:B103,"Ingreso Marco",'Ing-Egr Octubre 2026'!C4:C103,A12)</f>
        <v/>
      </c>
      <c r="E12" s="359" t="n"/>
      <c r="F12" s="360" t="n"/>
      <c r="G12" s="372" t="inlineStr">
        <is>
          <t>═══ TOTAL INGRESOS NT ═══</t>
        </is>
      </c>
      <c r="H12" s="256" t="n"/>
      <c r="I12" s="353" t="n"/>
      <c r="J12" s="373">
        <f>J10</f>
        <v/>
      </c>
      <c r="K12" s="301" t="n"/>
      <c r="L12" s="301" t="n"/>
    </row>
    <row r="13" ht="15" customHeight="1" s="221">
      <c r="A13" s="369" t="inlineStr">
        <is>
          <t>Viático</t>
        </is>
      </c>
      <c r="B13" s="370" t="n"/>
      <c r="C13" s="371" t="n"/>
      <c r="D13" s="366">
        <f>SUMIFS('Ing-Egr Octubre 2026'!E4:E103,'Ing-Egr Octubre 2026'!B4:B103,"Ingreso Marco",'Ing-Egr Octubre 2026'!C4:C103,A13)</f>
        <v/>
      </c>
      <c r="E13" s="359" t="n"/>
      <c r="F13" s="360" t="n"/>
      <c r="G13" s="359" t="n"/>
      <c r="H13" s="301" t="n"/>
      <c r="I13" s="301" t="n"/>
      <c r="J13" s="301" t="n"/>
      <c r="K13" s="301" t="n"/>
      <c r="L13" s="301" t="n"/>
    </row>
    <row r="14" ht="15" customHeight="1" s="221">
      <c r="A14" s="363" t="inlineStr">
        <is>
          <t>Animador Bíblico</t>
        </is>
      </c>
      <c r="B14" s="364" t="n"/>
      <c r="C14" s="365" t="n"/>
      <c r="D14" s="366">
        <f>SUMIFS('Ing-Egr Octubre 2026'!E4:E103,'Ing-Egr Octubre 2026'!B4:B103,"Ingreso Marco",'Ing-Egr Octubre 2026'!C4:C103,A14)</f>
        <v/>
      </c>
      <c r="E14" s="359" t="n"/>
      <c r="F14" s="360" t="n"/>
      <c r="G14" s="359" t="n"/>
      <c r="H14" s="301" t="n"/>
      <c r="I14" s="301" t="n"/>
      <c r="J14" s="301" t="n"/>
      <c r="K14" s="301" t="n"/>
      <c r="L14" s="301" t="n"/>
    </row>
    <row r="15" ht="15" customHeight="1" s="221">
      <c r="A15" s="369" t="inlineStr">
        <is>
          <t>Otros Ocasionales</t>
        </is>
      </c>
      <c r="B15" s="370" t="n"/>
      <c r="C15" s="371" t="n"/>
      <c r="D15" s="366">
        <f>SUMIFS('Ing-Egr Octubre 2026'!E4:E103,'Ing-Egr Octubre 2026'!B4:B103,"Ingreso Marco",'Ing-Egr Octubre 2026'!C4:C103,A15)</f>
        <v/>
      </c>
      <c r="E15" s="359" t="n"/>
      <c r="F15" s="360" t="n"/>
      <c r="G15" s="359" t="n"/>
      <c r="H15" s="301" t="n"/>
      <c r="I15" s="374">
        <f>J12</f>
        <v/>
      </c>
      <c r="J15" s="301" t="n"/>
      <c r="K15" s="301" t="n"/>
      <c r="L15" s="301" t="n"/>
    </row>
    <row r="16" ht="15" customHeight="1" s="221">
      <c r="A16" s="375" t="inlineStr">
        <is>
          <t>TOTAL MARCO</t>
        </is>
      </c>
      <c r="B16" s="360" t="n"/>
      <c r="C16" s="359" t="n"/>
      <c r="D16" s="376">
        <f>SUM(D10:D15)</f>
        <v/>
      </c>
      <c r="E16" s="359" t="n"/>
      <c r="F16" s="360" t="n"/>
      <c r="G16" s="359" t="n"/>
      <c r="H16" s="301" t="n"/>
      <c r="I16" s="301" t="n"/>
      <c r="J16" s="301" t="n"/>
      <c r="K16" s="301" t="n"/>
      <c r="L16" s="301" t="n"/>
    </row>
    <row r="17" ht="15" customHeight="1" s="221">
      <c r="A17" s="377" t="inlineStr">
        <is>
          <t>CLARA</t>
        </is>
      </c>
      <c r="B17" s="353" t="n"/>
      <c r="C17" s="378" t="inlineStr">
        <is>
          <t>Fecha</t>
        </is>
      </c>
      <c r="D17" s="379" t="inlineStr">
        <is>
          <t>Monto</t>
        </is>
      </c>
      <c r="E17" s="359" t="n"/>
      <c r="F17" s="360" t="n"/>
      <c r="G17" s="359" t="n"/>
      <c r="H17" s="301" t="n"/>
      <c r="I17" s="301" t="n"/>
      <c r="J17" s="301" t="n"/>
      <c r="K17" s="301" t="n"/>
      <c r="L17" s="301" t="n"/>
    </row>
    <row r="18" ht="15" customHeight="1" s="221">
      <c r="A18" s="380" t="inlineStr">
        <is>
          <t>Honorarios Diarios</t>
        </is>
      </c>
      <c r="B18" s="381" t="n"/>
      <c r="C18" s="382" t="n"/>
      <c r="D18" s="383">
        <f>SUMIF('Ing-Egr Octubre 2026'!B4:B103,"Ingreso Clara",'Ing-Egr Octubre 2026'!E4:E103)</f>
        <v/>
      </c>
      <c r="E18" s="359" t="n"/>
      <c r="F18" s="360" t="n"/>
      <c r="G18" s="359" t="n"/>
      <c r="H18" s="301" t="n"/>
      <c r="I18" s="301" t="n"/>
      <c r="J18" s="301" t="n"/>
      <c r="K18" s="301" t="n"/>
      <c r="L18" s="301" t="n"/>
    </row>
    <row r="19" ht="15" customHeight="1" s="221">
      <c r="A19" s="384" t="inlineStr">
        <is>
          <t>TOTAL CLARA</t>
        </is>
      </c>
      <c r="B19" s="301" t="n"/>
      <c r="C19" s="301" t="n"/>
      <c r="D19" s="385">
        <f>D18</f>
        <v/>
      </c>
      <c r="E19" s="359" t="n"/>
      <c r="F19" s="360" t="n"/>
      <c r="G19" s="359" t="n"/>
      <c r="H19" s="301" t="n"/>
      <c r="I19" s="301" t="n"/>
      <c r="J19" s="301" t="n"/>
      <c r="K19" s="301" t="n"/>
      <c r="L19" s="301" t="n"/>
    </row>
    <row r="20" ht="15" customHeight="1" s="221">
      <c r="A20" s="386" t="inlineStr">
        <is>
          <t>DESDE NEUROTEA</t>
        </is>
      </c>
      <c r="D20" s="387" t="inlineStr">
        <is>
          <t>Monto</t>
        </is>
      </c>
      <c r="E20" s="359" t="n"/>
      <c r="F20" s="360" t="n"/>
      <c r="G20" s="359" t="n"/>
      <c r="H20" s="301" t="n"/>
      <c r="I20" s="301" t="n"/>
      <c r="J20" s="301" t="n"/>
      <c r="K20" s="301" t="n"/>
      <c r="L20" s="301" t="n"/>
    </row>
    <row r="21" ht="15" customHeight="1" s="221">
      <c r="A21" s="388" t="inlineStr">
        <is>
          <t>Salario Admin Marco</t>
        </is>
      </c>
      <c r="B21" s="388" t="n"/>
      <c r="C21" s="388" t="n"/>
      <c r="D21" s="389" t="n">
        <v>0</v>
      </c>
      <c r="E21" s="359" t="n"/>
      <c r="F21" s="360" t="n"/>
      <c r="G21" s="359" t="n"/>
      <c r="H21" s="301" t="n"/>
      <c r="I21" s="301" t="n"/>
      <c r="J21" s="301" t="n"/>
      <c r="K21" s="301" t="n"/>
      <c r="L21" s="301" t="n"/>
    </row>
    <row r="22" ht="15" customHeight="1" s="221">
      <c r="A22" s="390" t="inlineStr">
        <is>
          <t>Ganancia NT → Familia</t>
        </is>
      </c>
      <c r="B22" s="390" t="n"/>
      <c r="C22" s="390" t="n"/>
      <c r="D22" s="391" t="n">
        <v>0</v>
      </c>
      <c r="E22" s="359" t="n"/>
      <c r="F22" s="360" t="n"/>
      <c r="G22" s="359" t="n"/>
      <c r="H22" s="301" t="n"/>
      <c r="I22" s="301" t="n"/>
      <c r="J22" s="301" t="n"/>
      <c r="K22" s="301" t="n"/>
      <c r="L22" s="301" t="n"/>
    </row>
    <row r="23" ht="15" customHeight="1" s="221">
      <c r="A23" s="388" t="inlineStr">
        <is>
          <t>Préstamo NT (automático)</t>
        </is>
      </c>
      <c r="B23" s="388" t="n"/>
      <c r="C23" s="388" t="n"/>
      <c r="D23" s="389">
        <f>D6</f>
        <v/>
      </c>
      <c r="E23" s="359" t="n"/>
      <c r="F23" s="360" t="n"/>
      <c r="G23" s="359" t="n"/>
      <c r="H23" s="301" t="n"/>
      <c r="I23" s="301" t="n"/>
      <c r="J23" s="301" t="n"/>
      <c r="K23" s="301" t="n"/>
      <c r="L23" s="301" t="n"/>
    </row>
    <row r="24" ht="15" customHeight="1" s="221">
      <c r="A24" s="392" t="inlineStr">
        <is>
          <t>TOTAL DESDE NT</t>
        </is>
      </c>
      <c r="B24" s="301" t="n"/>
      <c r="C24" s="301" t="n"/>
      <c r="D24" s="393">
        <f>SUM(D21:D23)</f>
        <v/>
      </c>
      <c r="E24" s="359" t="n"/>
      <c r="F24" s="360" t="n"/>
      <c r="G24" s="359" t="n"/>
      <c r="H24" s="301" t="n"/>
      <c r="I24" s="301" t="n"/>
      <c r="J24" s="301" t="n"/>
      <c r="K24" s="301" t="n"/>
      <c r="L24" s="301" t="n"/>
    </row>
    <row r="25" ht="15" customHeight="1" s="221">
      <c r="A25" s="301" t="n"/>
      <c r="B25" s="301" t="n"/>
      <c r="C25" s="301" t="n"/>
      <c r="D25" s="360" t="n"/>
      <c r="E25" s="359" t="n"/>
      <c r="F25" s="360" t="n"/>
      <c r="G25" s="359" t="n"/>
      <c r="H25" s="301" t="n"/>
      <c r="I25" s="301" t="n"/>
      <c r="J25" s="301" t="n"/>
      <c r="K25" s="301" t="n"/>
      <c r="L25" s="301" t="n"/>
    </row>
    <row r="26" ht="15" customHeight="1" s="221">
      <c r="A26" s="223" t="inlineStr">
        <is>
          <t>═══ TOTAL INGRESOS FAMILIA ═══</t>
        </is>
      </c>
      <c r="D26" s="394">
        <f>D16+D19+D24</f>
        <v/>
      </c>
      <c r="E26" s="359" t="n"/>
      <c r="F26" s="360" t="n"/>
      <c r="G26" s="359" t="n"/>
      <c r="H26" s="301" t="n"/>
      <c r="I26" s="301" t="n"/>
      <c r="J26" s="301" t="n"/>
      <c r="K26" s="301" t="n"/>
      <c r="L26" s="301" t="n"/>
    </row>
    <row r="27" ht="15" customHeight="1" s="221">
      <c r="A27" s="301" t="n"/>
      <c r="B27" s="301" t="n"/>
      <c r="C27" s="301" t="n"/>
      <c r="D27" s="360" t="n"/>
      <c r="E27" s="359" t="n"/>
      <c r="F27" s="360" t="n"/>
      <c r="G27" s="359" t="n"/>
      <c r="H27" s="301" t="n"/>
      <c r="I27" s="301" t="n"/>
      <c r="J27" s="301" t="n"/>
      <c r="K27" s="301" t="n"/>
      <c r="L27" s="301" t="n"/>
    </row>
    <row r="28" ht="15.75" customHeight="1" s="221">
      <c r="A28" s="395" t="inlineStr">
        <is>
          <t>📉 GASTOS FAMILIARES</t>
        </is>
      </c>
      <c r="E28" s="328" t="n"/>
      <c r="F28" s="301" t="n"/>
      <c r="G28" s="396" t="inlineStr">
        <is>
          <t>📉 GASTOS NEUROTEA</t>
        </is>
      </c>
      <c r="K28" s="301" t="n"/>
      <c r="L28" s="301" t="n"/>
    </row>
    <row r="29" ht="15" customHeight="1" s="221">
      <c r="A29" s="397" t="inlineStr">
        <is>
          <t>Detalle</t>
        </is>
      </c>
      <c r="B29" s="397" t="inlineStr">
        <is>
          <t>Estado</t>
        </is>
      </c>
      <c r="C29" s="397" t="inlineStr">
        <is>
          <t>Monto</t>
        </is>
      </c>
      <c r="D29" s="397" t="inlineStr">
        <is>
          <t>Venc.</t>
        </is>
      </c>
      <c r="E29" s="301" t="n"/>
      <c r="F29" s="301" t="n"/>
      <c r="G29" s="398" t="inlineStr">
        <is>
          <t>Detalle</t>
        </is>
      </c>
      <c r="H29" s="398" t="inlineStr">
        <is>
          <t>Estado</t>
        </is>
      </c>
      <c r="I29" s="398" t="inlineStr">
        <is>
          <t>Monto</t>
        </is>
      </c>
      <c r="J29" s="398" t="inlineStr">
        <is>
          <t>Venc.</t>
        </is>
      </c>
      <c r="K29" s="301" t="n"/>
      <c r="L29" s="301" t="n"/>
    </row>
    <row r="30" ht="15.75" customHeight="1" s="221">
      <c r="A30" s="399" t="inlineStr">
        <is>
          <t>► GASTOS FIJOS ✏️</t>
        </is>
      </c>
      <c r="E30" s="301" t="n"/>
      <c r="F30" s="301" t="n"/>
      <c r="G30" s="400" t="inlineStr">
        <is>
          <t>► GASTOS FIJOS ✏️</t>
        </is>
      </c>
      <c r="K30" s="301" t="n"/>
      <c r="L30" s="301" t="n"/>
    </row>
    <row r="31" ht="15" customHeight="1" s="221">
      <c r="A31" s="401" t="inlineStr">
        <is>
          <t>Salario Lili Doméstico</t>
        </is>
      </c>
      <c r="B31" s="401" t="inlineStr">
        <is>
          <t>Ninguno</t>
        </is>
      </c>
      <c r="C31" s="402" t="n"/>
      <c r="D31" s="458" t="n"/>
      <c r="E31" s="301" t="n"/>
      <c r="F31" s="301" t="n"/>
      <c r="G31" s="403" t="inlineStr">
        <is>
          <t>Alquiler 1 (Principal)</t>
        </is>
      </c>
      <c r="H31" s="403" t="inlineStr">
        <is>
          <t>Ninguno</t>
        </is>
      </c>
      <c r="I31" s="404" t="n">
        <v>0</v>
      </c>
      <c r="J31" s="459" t="n"/>
      <c r="K31" s="301" t="n"/>
      <c r="L31" s="301" t="n"/>
    </row>
    <row r="32" ht="15" customHeight="1" s="221">
      <c r="A32" s="405" t="inlineStr">
        <is>
          <t>Salario Laura Doméstico</t>
        </is>
      </c>
      <c r="B32" s="405" t="inlineStr">
        <is>
          <t>Ninguno</t>
        </is>
      </c>
      <c r="C32" s="406" t="n"/>
      <c r="D32" s="460" t="n"/>
      <c r="E32" s="301" t="n"/>
      <c r="F32" s="301" t="n"/>
      <c r="G32" s="407" t="inlineStr">
        <is>
          <t>Alquiler 2 (Secundario)</t>
        </is>
      </c>
      <c r="H32" s="407" t="inlineStr">
        <is>
          <t>Ninguno</t>
        </is>
      </c>
      <c r="I32" s="408" t="n">
        <v>0</v>
      </c>
      <c r="J32" s="461" t="n"/>
      <c r="K32" s="301" t="n"/>
      <c r="L32" s="301" t="n"/>
    </row>
    <row r="33" ht="15" customHeight="1" s="221">
      <c r="A33" s="401" t="inlineStr">
        <is>
          <t>Escuela Fabián y Brenda</t>
        </is>
      </c>
      <c r="B33" s="401" t="inlineStr">
        <is>
          <t>Ninguno</t>
        </is>
      </c>
      <c r="C33" s="402" t="n"/>
      <c r="D33" s="458" t="n"/>
      <c r="E33" s="301" t="n"/>
      <c r="F33" s="301" t="n"/>
      <c r="G33" s="403" t="inlineStr">
        <is>
          <t>Limpieza NeuroTEA</t>
        </is>
      </c>
      <c r="H33" s="403" t="inlineStr">
        <is>
          <t>Ninguno</t>
        </is>
      </c>
      <c r="I33" s="404" t="n">
        <v>0</v>
      </c>
      <c r="J33" s="459" t="n"/>
      <c r="K33" s="301" t="n"/>
      <c r="L33" s="301" t="n"/>
    </row>
    <row r="34" ht="15" customHeight="1" s="221">
      <c r="A34" s="405" t="inlineStr">
        <is>
          <t>Robótica Niños</t>
        </is>
      </c>
      <c r="B34" s="405" t="inlineStr">
        <is>
          <t>Ninguno</t>
        </is>
      </c>
      <c r="C34" s="406" t="n"/>
      <c r="D34" s="460" t="n"/>
      <c r="E34" s="301" t="n"/>
      <c r="F34" s="301" t="n"/>
      <c r="G34" s="400" t="inlineStr">
        <is>
          <t>► SUELDOS Y HONORARIOS ✏️</t>
        </is>
      </c>
      <c r="K34" s="301" t="n"/>
      <c r="L34" s="301" t="n"/>
    </row>
    <row r="35" ht="15" customHeight="1" s="221">
      <c r="A35" s="410" t="inlineStr">
        <is>
          <t>ANDE Casa</t>
        </is>
      </c>
      <c r="B35" s="410" t="inlineStr">
        <is>
          <t>Ninguno</t>
        </is>
      </c>
      <c r="C35" s="411" t="n"/>
      <c r="D35" s="463" t="n"/>
      <c r="E35" s="301" t="n"/>
      <c r="F35" s="301" t="n"/>
      <c r="G35" s="403" t="inlineStr">
        <is>
          <t>Sueldo Aracely</t>
        </is>
      </c>
      <c r="H35" s="403" t="inlineStr">
        <is>
          <t>Ninguno</t>
        </is>
      </c>
      <c r="I35" s="404" t="n">
        <v>0</v>
      </c>
      <c r="J35" s="459" t="n"/>
      <c r="K35" s="301" t="n"/>
      <c r="L35" s="301" t="n"/>
    </row>
    <row r="36" ht="15" customHeight="1" s="221">
      <c r="A36" s="405" t="inlineStr">
        <is>
          <t>Expensa Casa</t>
        </is>
      </c>
      <c r="B36" s="405" t="inlineStr">
        <is>
          <t>Ninguno</t>
        </is>
      </c>
      <c r="C36" s="406" t="n"/>
      <c r="D36" s="460" t="n"/>
      <c r="E36" s="301" t="n"/>
      <c r="F36" s="301" t="n"/>
      <c r="G36" s="407" t="inlineStr">
        <is>
          <t>Sueldo Fátima</t>
        </is>
      </c>
      <c r="H36" s="407" t="inlineStr">
        <is>
          <t>Ninguno</t>
        </is>
      </c>
      <c r="I36" s="408" t="n">
        <v>0</v>
      </c>
      <c r="J36" s="461" t="n"/>
      <c r="K36" s="301" t="n"/>
      <c r="L36" s="301" t="n"/>
    </row>
    <row r="37" ht="15" customHeight="1" s="221">
      <c r="A37" s="410" t="inlineStr">
        <is>
          <t>Cajubi Marco</t>
        </is>
      </c>
      <c r="B37" s="410" t="inlineStr">
        <is>
          <t>Ninguno</t>
        </is>
      </c>
      <c r="C37" s="411" t="n"/>
      <c r="D37" s="463" t="n"/>
      <c r="E37" s="301" t="n"/>
      <c r="F37" s="301" t="n"/>
      <c r="G37" s="403" t="inlineStr">
        <is>
          <t>Honorario Contador</t>
        </is>
      </c>
      <c r="H37" s="403" t="inlineStr">
        <is>
          <t>Ninguno</t>
        </is>
      </c>
      <c r="I37" s="404" t="n">
        <v>0</v>
      </c>
      <c r="J37" s="459" t="n"/>
      <c r="K37" s="301" t="n"/>
      <c r="L37" s="301" t="n"/>
    </row>
    <row r="38" ht="15" customHeight="1" s="221">
      <c r="A38" s="405" t="inlineStr">
        <is>
          <t>Mutual Marco</t>
        </is>
      </c>
      <c r="B38" s="405" t="inlineStr">
        <is>
          <t>Ninguno</t>
        </is>
      </c>
      <c r="C38" s="406" t="n"/>
      <c r="D38" s="460" t="n"/>
      <c r="E38" s="301" t="n"/>
      <c r="F38" s="301" t="n"/>
      <c r="G38" s="407" t="inlineStr">
        <is>
          <t>Salario Administrador</t>
        </is>
      </c>
      <c r="H38" s="407" t="inlineStr">
        <is>
          <t>Ninguno</t>
        </is>
      </c>
      <c r="I38" s="408" t="n">
        <v>0</v>
      </c>
      <c r="J38" s="461" t="n"/>
      <c r="K38" s="301" t="n"/>
      <c r="L38" s="301" t="n"/>
    </row>
    <row r="39" ht="15" customHeight="1" s="221">
      <c r="A39" s="410" t="inlineStr">
        <is>
          <t>Ña Luisa</t>
        </is>
      </c>
      <c r="B39" s="410" t="inlineStr">
        <is>
          <t>Ninguno</t>
        </is>
      </c>
      <c r="C39" s="411" t="n"/>
      <c r="D39" s="463" t="n"/>
      <c r="E39" s="301" t="n"/>
      <c r="F39" s="301" t="n"/>
      <c r="G39" s="403" t="inlineStr">
        <is>
          <t>Honorario Mant. Sistema</t>
        </is>
      </c>
      <c r="H39" s="403" t="inlineStr">
        <is>
          <t>Ninguno</t>
        </is>
      </c>
      <c r="I39" s="404" t="n">
        <v>0</v>
      </c>
      <c r="J39" s="459" t="n"/>
      <c r="K39" s="301" t="n"/>
      <c r="L39" s="301" t="n"/>
    </row>
    <row r="40" ht="15" customHeight="1" s="221">
      <c r="A40" s="405" t="inlineStr">
        <is>
          <t>Seguro Médico Papá y Mamá</t>
        </is>
      </c>
      <c r="B40" s="405" t="inlineStr">
        <is>
          <t>Ninguno</t>
        </is>
      </c>
      <c r="C40" s="406" t="n"/>
      <c r="D40" s="460" t="n"/>
      <c r="E40" s="301" t="n"/>
      <c r="F40" s="301" t="n"/>
      <c r="G40" s="400" t="inlineStr">
        <is>
          <t>► TELEFONÍA E INTERNET ✏️</t>
        </is>
      </c>
      <c r="K40" s="301" t="n"/>
      <c r="L40" s="301" t="n"/>
    </row>
    <row r="41" ht="15" customHeight="1" s="221">
      <c r="A41" s="413" t="inlineStr">
        <is>
          <t>► CUOTAS Y PRÉSTAMOS ✏️</t>
        </is>
      </c>
      <c r="B41" s="256" t="n"/>
      <c r="C41" s="256" t="n"/>
      <c r="D41" s="353" t="n"/>
      <c r="E41" s="301" t="n"/>
      <c r="F41" s="301" t="n"/>
      <c r="G41" s="403" t="inlineStr">
        <is>
          <t>Celular Tigo NeuroTEA</t>
        </is>
      </c>
      <c r="H41" s="403" t="inlineStr">
        <is>
          <t>Ninguno</t>
        </is>
      </c>
      <c r="I41" s="404" t="n">
        <v>0</v>
      </c>
      <c r="J41" s="459" t="n"/>
      <c r="K41" s="301" t="n"/>
      <c r="L41" s="301" t="n"/>
    </row>
    <row r="42" ht="15" customHeight="1" s="221">
      <c r="A42" s="410" t="inlineStr">
        <is>
          <t>Auto Laura Cuota</t>
        </is>
      </c>
      <c r="B42" s="410" t="inlineStr">
        <is>
          <t>Ninguno</t>
        </is>
      </c>
      <c r="C42" s="411" t="n"/>
      <c r="D42" s="463" t="n"/>
      <c r="E42" s="301" t="n"/>
      <c r="F42" s="301" t="n"/>
      <c r="G42" s="407" t="inlineStr">
        <is>
          <t>Celular Tigo Sistema</t>
        </is>
      </c>
      <c r="H42" s="407" t="inlineStr">
        <is>
          <t>Ninguno</t>
        </is>
      </c>
      <c r="I42" s="408" t="n">
        <v>0</v>
      </c>
      <c r="J42" s="461" t="n"/>
      <c r="K42" s="301" t="n"/>
      <c r="L42" s="301" t="n"/>
    </row>
    <row r="43" ht="15" customHeight="1" s="221">
      <c r="A43" s="405" t="inlineStr">
        <is>
          <t>Coop. Universitaria Clara</t>
        </is>
      </c>
      <c r="B43" s="405" t="inlineStr">
        <is>
          <t>Ninguno</t>
        </is>
      </c>
      <c r="C43" s="406" t="n"/>
      <c r="D43" s="460" t="n"/>
      <c r="E43" s="301" t="n"/>
      <c r="F43" s="301" t="n"/>
      <c r="G43" s="403" t="inlineStr">
        <is>
          <t>WhatsFlow</t>
        </is>
      </c>
      <c r="H43" s="403" t="inlineStr">
        <is>
          <t>Ninguno</t>
        </is>
      </c>
      <c r="I43" s="404" t="n">
        <v>0</v>
      </c>
      <c r="J43" s="459" t="n"/>
      <c r="K43" s="301" t="n"/>
      <c r="L43" s="301" t="n"/>
    </row>
    <row r="44" ht="15" customHeight="1" s="221">
      <c r="A44" s="410" t="inlineStr">
        <is>
          <t>Coomecipar Clara</t>
        </is>
      </c>
      <c r="B44" s="410" t="inlineStr">
        <is>
          <t>Ninguno</t>
        </is>
      </c>
      <c r="C44" s="411" t="n"/>
      <c r="D44" s="463" t="n"/>
      <c r="E44" s="301" t="n"/>
      <c r="F44" s="301" t="n"/>
      <c r="G44" s="407" t="inlineStr">
        <is>
          <t>Internet NeuroTEA</t>
        </is>
      </c>
      <c r="H44" s="407" t="inlineStr">
        <is>
          <t>Ninguno</t>
        </is>
      </c>
      <c r="I44" s="408" t="n">
        <v>0</v>
      </c>
      <c r="J44" s="461" t="n"/>
      <c r="K44" s="301" t="n"/>
      <c r="L44" s="301" t="n"/>
    </row>
    <row r="45" ht="15" customHeight="1" s="221">
      <c r="A45" s="414" t="inlineStr">
        <is>
          <t>Tarjeta Cred. Coomecipar</t>
        </is>
      </c>
      <c r="B45" s="414" t="inlineStr">
        <is>
          <t>Ninguno</t>
        </is>
      </c>
      <c r="C45" s="415" t="n"/>
      <c r="D45" s="465" t="n"/>
      <c r="E45" s="301" t="n"/>
      <c r="F45" s="301" t="n"/>
      <c r="G45" s="400" t="inlineStr">
        <is>
          <t>► IMPUESTOS ✏️</t>
        </is>
      </c>
      <c r="K45" s="301" t="n"/>
      <c r="L45" s="301" t="n"/>
    </row>
    <row r="46" ht="15" customHeight="1" s="221">
      <c r="A46" s="401" t="inlineStr">
        <is>
          <t>Solar Préstamo 1</t>
        </is>
      </c>
      <c r="B46" s="401" t="inlineStr">
        <is>
          <t>Ninguno</t>
        </is>
      </c>
      <c r="C46" s="402" t="n"/>
      <c r="D46" s="458" t="n"/>
      <c r="E46" s="301" t="n"/>
      <c r="F46" s="301" t="n"/>
      <c r="G46" s="403" t="inlineStr">
        <is>
          <t>IVA</t>
        </is>
      </c>
      <c r="H46" s="403" t="inlineStr">
        <is>
          <t>Ninguno</t>
        </is>
      </c>
      <c r="I46" s="404" t="n">
        <v>0</v>
      </c>
      <c r="J46" s="459" t="n"/>
      <c r="K46" s="301" t="n"/>
      <c r="L46" s="301" t="n"/>
    </row>
    <row r="47" ht="15" customHeight="1" s="221">
      <c r="A47" s="405" t="inlineStr">
        <is>
          <t>Solar Préstamo 2</t>
        </is>
      </c>
      <c r="B47" s="405" t="inlineStr">
        <is>
          <t>Ninguno</t>
        </is>
      </c>
      <c r="C47" s="406" t="n"/>
      <c r="D47" s="460" t="n"/>
      <c r="E47" s="301" t="n"/>
      <c r="F47" s="301" t="n"/>
      <c r="G47" s="400" t="inlineStr">
        <is>
          <t>► EVENTOS NT ✏️</t>
        </is>
      </c>
      <c r="K47" s="301" t="n"/>
      <c r="L47" s="301" t="n"/>
    </row>
    <row r="48" ht="15" customHeight="1" s="221">
      <c r="A48" s="410" t="inlineStr">
        <is>
          <t>Préstamo Lizzi Sueldos</t>
        </is>
      </c>
      <c r="B48" s="410" t="inlineStr">
        <is>
          <t>Ninguno</t>
        </is>
      </c>
      <c r="C48" s="411" t="n"/>
      <c r="D48" s="463" t="n"/>
      <c r="E48" s="301" t="n"/>
      <c r="F48" s="301" t="n"/>
      <c r="G48" s="403" t="inlineStr">
        <is>
          <t>Día del Niño NT</t>
        </is>
      </c>
      <c r="H48" s="403" t="inlineStr">
        <is>
          <t>Ninguno</t>
        </is>
      </c>
      <c r="I48" s="404" t="n">
        <v>0</v>
      </c>
      <c r="J48" s="459" t="n"/>
      <c r="K48" s="301" t="n"/>
      <c r="L48" s="301" t="n"/>
    </row>
    <row r="49" ht="15" customHeight="1" s="221">
      <c r="A49" s="405" t="inlineStr">
        <is>
          <t>Show Congelador</t>
        </is>
      </c>
      <c r="B49" s="405" t="inlineStr">
        <is>
          <t>Ninguno</t>
        </is>
      </c>
      <c r="C49" s="406" t="n"/>
      <c r="D49" s="460" t="n"/>
      <c r="E49" s="301" t="n"/>
      <c r="F49" s="301" t="n"/>
      <c r="G49" s="407" t="inlineStr">
        <is>
          <t>San Juan NT</t>
        </is>
      </c>
      <c r="H49" s="407" t="inlineStr">
        <is>
          <t>Ninguno</t>
        </is>
      </c>
      <c r="I49" s="408" t="n">
        <v>0</v>
      </c>
      <c r="J49" s="461" t="n"/>
      <c r="K49" s="301" t="n"/>
      <c r="L49" s="301" t="n"/>
    </row>
    <row r="50" ht="15" customHeight="1" s="221">
      <c r="A50" s="410" t="inlineStr">
        <is>
          <t>Olier Heladera</t>
        </is>
      </c>
      <c r="B50" s="410" t="inlineStr">
        <is>
          <t>Ninguno</t>
        </is>
      </c>
      <c r="C50" s="411" t="n"/>
      <c r="D50" s="463" t="n"/>
      <c r="E50" s="301" t="n"/>
      <c r="F50" s="301" t="n"/>
      <c r="G50" s="403" t="inlineStr">
        <is>
          <t>Día del Autismo NT</t>
        </is>
      </c>
      <c r="H50" s="403" t="inlineStr">
        <is>
          <t>Ninguno</t>
        </is>
      </c>
      <c r="I50" s="404" t="n">
        <v>0</v>
      </c>
      <c r="J50" s="459" t="n"/>
      <c r="K50" s="301" t="n"/>
      <c r="L50" s="301" t="n"/>
    </row>
    <row r="51" ht="15" customHeight="1" s="221">
      <c r="A51" s="413" t="inlineStr">
        <is>
          <t>► SUSCRIPCIONES E INTERNET ✏️</t>
        </is>
      </c>
      <c r="B51" s="256" t="n"/>
      <c r="C51" s="256" t="n"/>
      <c r="D51" s="353" t="n"/>
      <c r="E51" s="301" t="n"/>
      <c r="F51" s="301" t="n"/>
      <c r="G51" s="407" t="inlineStr">
        <is>
          <t>Clausura Padres NT</t>
        </is>
      </c>
      <c r="H51" s="407" t="inlineStr">
        <is>
          <t>Ninguno</t>
        </is>
      </c>
      <c r="I51" s="408" t="n">
        <v>0</v>
      </c>
      <c r="J51" s="461" t="n"/>
      <c r="K51" s="301" t="n"/>
      <c r="L51" s="301" t="n"/>
    </row>
    <row r="52" ht="15" customHeight="1" s="221">
      <c r="A52" s="410" t="inlineStr">
        <is>
          <t>Giganet</t>
        </is>
      </c>
      <c r="B52" s="410" t="inlineStr">
        <is>
          <t>Ninguno</t>
        </is>
      </c>
      <c r="C52" s="411" t="n"/>
      <c r="D52" s="463" t="n"/>
      <c r="E52" s="301" t="n"/>
      <c r="F52" s="301" t="n"/>
      <c r="G52" s="403" t="inlineStr">
        <is>
          <t>Navidad Papá Noel NT</t>
        </is>
      </c>
      <c r="H52" s="403" t="inlineStr">
        <is>
          <t>Ninguno</t>
        </is>
      </c>
      <c r="I52" s="404" t="n">
        <v>0</v>
      </c>
      <c r="J52" s="459" t="n"/>
      <c r="K52" s="301" t="n"/>
      <c r="L52" s="301" t="n"/>
    </row>
    <row r="53" ht="15" customHeight="1" s="221">
      <c r="A53" s="405" t="inlineStr">
        <is>
          <t>Tigo Internet/Celulares</t>
        </is>
      </c>
      <c r="B53" s="405" t="inlineStr">
        <is>
          <t>Ninguno</t>
        </is>
      </c>
      <c r="C53" s="406" t="n"/>
      <c r="D53" s="460" t="n"/>
      <c r="E53" s="301" t="n"/>
      <c r="F53" s="301" t="n"/>
      <c r="G53" s="407" t="inlineStr">
        <is>
          <t>Cena Fin de Año NT</t>
        </is>
      </c>
      <c r="H53" s="407" t="inlineStr">
        <is>
          <t>Ninguno</t>
        </is>
      </c>
      <c r="I53" s="408" t="n">
        <v>0</v>
      </c>
      <c r="J53" s="461" t="n"/>
      <c r="K53" s="301" t="n"/>
      <c r="L53" s="301" t="n"/>
    </row>
    <row r="54" ht="15" customHeight="1" s="221">
      <c r="A54" s="410" t="inlineStr">
        <is>
          <t>Tigo Familiar</t>
        </is>
      </c>
      <c r="B54" s="410" t="inlineStr">
        <is>
          <t>Ninguno</t>
        </is>
      </c>
      <c r="C54" s="411" t="n"/>
      <c r="D54" s="463" t="n"/>
      <c r="E54" s="301" t="n"/>
      <c r="F54" s="301" t="n"/>
      <c r="G54" s="400" t="inlineStr">
        <is>
          <t>► GASTOS VARIABLES NT 🔗</t>
        </is>
      </c>
      <c r="K54" s="301" t="n"/>
      <c r="L54" s="301" t="n"/>
    </row>
    <row r="55" ht="15" customHeight="1" s="221">
      <c r="A55" s="405" t="inlineStr">
        <is>
          <t>Google One</t>
        </is>
      </c>
      <c r="B55" s="405" t="inlineStr">
        <is>
          <t>Ninguno</t>
        </is>
      </c>
      <c r="C55" s="406" t="n"/>
      <c r="D55" s="460" t="n"/>
      <c r="E55" s="301" t="n"/>
      <c r="F55" s="301" t="n"/>
      <c r="G55" s="403" t="inlineStr">
        <is>
          <t>Insumos NT</t>
        </is>
      </c>
      <c r="H55" s="403" t="inlineStr">
        <is>
          <t>Ninguno</t>
        </is>
      </c>
      <c r="I55" s="404">
        <f>SUMIFS('Ing-Egr Octubre 2026'!F4:F103,'Ing-Egr Octubre 2026'!B4:B103,"Egreso NT",'Ing-Egr Octubre 2026'!C4:C103,G55)</f>
        <v/>
      </c>
      <c r="J55" s="459" t="n"/>
      <c r="K55" s="301" t="n"/>
      <c r="L55" s="301" t="n"/>
    </row>
    <row r="56" ht="15" customHeight="1" s="221">
      <c r="A56" s="410" t="inlineStr">
        <is>
          <t>ChatGPT</t>
        </is>
      </c>
      <c r="B56" s="410" t="inlineStr">
        <is>
          <t>Ninguno</t>
        </is>
      </c>
      <c r="C56" s="411" t="n"/>
      <c r="D56" s="463" t="n"/>
      <c r="E56" s="301" t="n"/>
      <c r="F56" s="301" t="n"/>
      <c r="G56" s="407" t="inlineStr">
        <is>
          <t>Papelería NT</t>
        </is>
      </c>
      <c r="H56" s="407" t="inlineStr">
        <is>
          <t>Ninguno</t>
        </is>
      </c>
      <c r="I56" s="408">
        <f>SUMIFS('Ing-Egr Octubre 2026'!F4:F103,'Ing-Egr Octubre 2026'!B4:B103,"Egreso NT",'Ing-Egr Octubre 2026'!C4:C103,G56)</f>
        <v/>
      </c>
      <c r="J56" s="461" t="n"/>
      <c r="K56" s="301" t="n"/>
      <c r="L56" s="301" t="n"/>
    </row>
    <row r="57" ht="15" customHeight="1" s="221">
      <c r="A57" s="414" t="inlineStr">
        <is>
          <t>Claude Marco</t>
        </is>
      </c>
      <c r="B57" s="414" t="inlineStr">
        <is>
          <t>Ninguno</t>
        </is>
      </c>
      <c r="C57" s="415" t="n"/>
      <c r="D57" s="465" t="n"/>
      <c r="E57" s="301" t="n"/>
      <c r="F57" s="301" t="n"/>
      <c r="G57" s="403" t="inlineStr">
        <is>
          <t>Mantenimiento NT</t>
        </is>
      </c>
      <c r="H57" s="403" t="inlineStr">
        <is>
          <t>Ninguno</t>
        </is>
      </c>
      <c r="I57" s="404">
        <f>SUMIFS('Ing-Egr Octubre 2026'!F4:F103,'Ing-Egr Octubre 2026'!B4:B103,"Egreso NT",'Ing-Egr Octubre 2026'!C4:C103,G57)</f>
        <v/>
      </c>
      <c r="J57" s="459" t="n"/>
      <c r="K57" s="301" t="n"/>
      <c r="L57" s="301" t="n"/>
    </row>
    <row r="58" ht="15" customHeight="1" s="221">
      <c r="A58" s="401" t="inlineStr">
        <is>
          <t>Claude Clara</t>
        </is>
      </c>
      <c r="B58" s="401" t="inlineStr">
        <is>
          <t>Ninguno</t>
        </is>
      </c>
      <c r="C58" s="402" t="n"/>
      <c r="D58" s="458" t="n"/>
      <c r="E58" s="301" t="n"/>
      <c r="F58" s="301" t="n"/>
      <c r="G58" s="407" t="inlineStr">
        <is>
          <t>Gastos Cursos NT</t>
        </is>
      </c>
      <c r="H58" s="407" t="inlineStr">
        <is>
          <t>Ninguno</t>
        </is>
      </c>
      <c r="I58" s="416">
        <f>SUMIFS('Ing-Egr Octubre 2026'!F4:F103,'Ing-Egr Octubre 2026'!B4:B103,"Egreso NT",'Ing-Egr Octubre 2026'!C4:C103,G58)</f>
        <v/>
      </c>
      <c r="J58" s="461" t="n"/>
      <c r="K58" s="301" t="n"/>
      <c r="L58" s="301" t="n"/>
    </row>
    <row r="59" ht="15" customHeight="1" s="221">
      <c r="A59" s="405" t="inlineStr">
        <is>
          <t>iLovePDF</t>
        </is>
      </c>
      <c r="B59" s="405" t="inlineStr">
        <is>
          <t>Ninguno</t>
        </is>
      </c>
      <c r="C59" s="406" t="n"/>
      <c r="D59" s="460" t="n"/>
      <c r="E59" s="301" t="n"/>
      <c r="F59" s="301" t="n"/>
      <c r="G59" s="403" t="inlineStr">
        <is>
          <t>Gastos Varios NT</t>
        </is>
      </c>
      <c r="H59" s="403" t="inlineStr">
        <is>
          <t>Ninguno</t>
        </is>
      </c>
      <c r="I59" s="417">
        <f>SUMIFS('Ing-Egr Octubre 2026'!F4:F103,'Ing-Egr Octubre 2026'!B4:B103,"Egreso NT",'Ing-Egr Octubre 2026'!C4:C103,G59)</f>
        <v/>
      </c>
      <c r="J59" s="459" t="n"/>
      <c r="K59" s="301" t="n"/>
      <c r="L59" s="301" t="n"/>
    </row>
    <row r="60" ht="15" customHeight="1" s="221">
      <c r="A60" s="410" t="inlineStr">
        <is>
          <t>Scribd</t>
        </is>
      </c>
      <c r="B60" s="410" t="inlineStr">
        <is>
          <t>Ninguno</t>
        </is>
      </c>
      <c r="C60" s="411" t="n"/>
      <c r="D60" s="463" t="n"/>
      <c r="E60" s="301" t="n"/>
      <c r="F60" s="301" t="n"/>
      <c r="G60" s="407" t="inlineStr">
        <is>
          <t>Reserva NT 1</t>
        </is>
      </c>
      <c r="H60" s="407" t="inlineStr">
        <is>
          <t>Ninguno</t>
        </is>
      </c>
      <c r="I60" s="408">
        <f>SUMIFS('Ing-Egr Octubre 2026'!F4:F103,'Ing-Egr Octubre 2026'!B4:B103,"Egreso NT",'Ing-Egr Octubre 2026'!C4:C103,G60)</f>
        <v/>
      </c>
      <c r="J60" s="461" t="n"/>
      <c r="K60" s="301" t="n"/>
      <c r="L60" s="301" t="n"/>
    </row>
    <row r="61" ht="15" customHeight="1" s="221">
      <c r="A61" s="405" t="inlineStr">
        <is>
          <t>Netflix</t>
        </is>
      </c>
      <c r="B61" s="405" t="inlineStr">
        <is>
          <t>Ninguno</t>
        </is>
      </c>
      <c r="C61" s="406" t="n"/>
      <c r="D61" s="460" t="n"/>
      <c r="E61" s="301" t="n"/>
      <c r="F61" s="301" t="n"/>
      <c r="G61" s="403" t="inlineStr">
        <is>
          <t>Reserva NT 2</t>
        </is>
      </c>
      <c r="H61" s="403" t="inlineStr">
        <is>
          <t>Ninguno</t>
        </is>
      </c>
      <c r="I61" s="404">
        <f>SUMIFS('Ing-Egr Octubre 2026'!F4:F103,'Ing-Egr Octubre 2026'!B4:B103,"Egreso NT",'Ing-Egr Octubre 2026'!C4:C103,G61)</f>
        <v/>
      </c>
      <c r="J61" s="459" t="n"/>
      <c r="K61" s="301" t="n"/>
      <c r="L61" s="301" t="n"/>
    </row>
    <row r="62" ht="15" customHeight="1" s="221">
      <c r="A62" s="413" t="inlineStr">
        <is>
          <t>► GASTOS VARIABLES 🔗</t>
        </is>
      </c>
      <c r="B62" s="256" t="n"/>
      <c r="C62" s="256" t="n"/>
      <c r="D62" s="353" t="n"/>
      <c r="E62" s="301" t="n"/>
      <c r="F62" s="301" t="n"/>
      <c r="G62" s="407" t="inlineStr">
        <is>
          <t>Reserva NT 3</t>
        </is>
      </c>
      <c r="H62" s="407" t="inlineStr">
        <is>
          <t>Ninguno</t>
        </is>
      </c>
      <c r="I62" s="408">
        <f>SUMIFS('Ing-Egr Octubre 2026'!F4:F103,'Ing-Egr Octubre 2026'!B4:B103,"Egreso NT",'Ing-Egr Octubre 2026'!C4:C103,G62)</f>
        <v/>
      </c>
      <c r="J62" s="461" t="n"/>
      <c r="K62" s="301" t="n"/>
      <c r="L62" s="301" t="n"/>
    </row>
    <row r="63" ht="15" customHeight="1" s="221">
      <c r="A63" s="410" t="inlineStr">
        <is>
          <t>Combustible</t>
        </is>
      </c>
      <c r="B63" s="410" t="inlineStr">
        <is>
          <t>Ninguno</t>
        </is>
      </c>
      <c r="C63" s="411">
        <f>SUMIFS('Ing-Egr Octubre 2026'!F4:F103,'Ing-Egr Octubre 2026'!B4:B103,"Egreso Familiar",'Ing-Egr Octubre 2026'!C4:C103,A63)</f>
        <v/>
      </c>
      <c r="D63" s="463" t="n"/>
      <c r="E63" s="301" t="n"/>
      <c r="F63" s="301" t="n"/>
      <c r="G63" s="301" t="n"/>
      <c r="H63" s="301" t="n"/>
      <c r="I63" s="301" t="n"/>
      <c r="J63" s="466" t="n"/>
      <c r="K63" s="301" t="n"/>
      <c r="L63" s="301" t="n"/>
    </row>
    <row r="64" ht="15" customHeight="1" s="221">
      <c r="A64" s="405" t="inlineStr">
        <is>
          <t>Supermercado</t>
        </is>
      </c>
      <c r="B64" s="405" t="inlineStr">
        <is>
          <t>Ninguno</t>
        </is>
      </c>
      <c r="C64" s="406">
        <f>SUMIFS('Ing-Egr Octubre 2026'!F4:F103,'Ing-Egr Octubre 2026'!B4:B103,"Egreso Familiar",'Ing-Egr Octubre 2026'!C4:C103,A64)</f>
        <v/>
      </c>
      <c r="D64" s="460" t="n"/>
      <c r="E64" s="301" t="n"/>
      <c r="F64" s="301" t="n"/>
      <c r="G64" s="418" t="inlineStr">
        <is>
          <t>TOTAL NT PAGADOS</t>
        </is>
      </c>
      <c r="I64" s="419">
        <f>SUMIF(H30:H62,"Pagado",I30:I62)</f>
        <v/>
      </c>
      <c r="J64" s="467" t="n"/>
      <c r="K64" s="301" t="n"/>
      <c r="L64" s="301" t="n"/>
    </row>
    <row r="65" ht="15" customHeight="1" s="221">
      <c r="A65" s="410" t="inlineStr">
        <is>
          <t>Farmacia</t>
        </is>
      </c>
      <c r="B65" s="410" t="inlineStr">
        <is>
          <t>Ninguno</t>
        </is>
      </c>
      <c r="C65" s="411">
        <f>SUMIFS('Ing-Egr Octubre 2026'!F4:F103,'Ing-Egr Octubre 2026'!B4:B103,"Egreso Familiar",'Ing-Egr Octubre 2026'!C4:C103,A65)</f>
        <v/>
      </c>
      <c r="D65" s="468">
        <f>C72</f>
        <v/>
      </c>
      <c r="E65" s="301" t="n"/>
      <c r="F65" s="301" t="n"/>
      <c r="G65" s="422" t="inlineStr">
        <is>
          <t>TOTAL NT PENDIENTES</t>
        </is>
      </c>
      <c r="I65" s="423">
        <f>SUMIF(H30:H62,"Pendiente",I30:I62)</f>
        <v/>
      </c>
      <c r="J65" s="469" t="n"/>
      <c r="K65" s="301" t="n"/>
      <c r="L65" s="301" t="n"/>
    </row>
    <row r="66" ht="15" customHeight="1" s="221">
      <c r="A66" s="405" t="inlineStr">
        <is>
          <t>Recreación</t>
        </is>
      </c>
      <c r="B66" s="405" t="inlineStr">
        <is>
          <t>Ninguno</t>
        </is>
      </c>
      <c r="C66" s="406">
        <f>SUMIFS('Ing-Egr Octubre 2026'!F4:F103,'Ing-Egr Octubre 2026'!B4:B103,"Egreso Familiar",'Ing-Egr Octubre 2026'!C4:C103,A66)</f>
        <v/>
      </c>
      <c r="D66" s="470">
        <f>C73</f>
        <v/>
      </c>
      <c r="E66" s="301" t="n"/>
      <c r="F66" s="301" t="n"/>
      <c r="G66" s="301" t="n"/>
      <c r="H66" s="301" t="n"/>
      <c r="I66" s="301" t="n"/>
      <c r="J66" s="466" t="n"/>
      <c r="K66" s="301" t="n"/>
      <c r="L66" s="301" t="n"/>
    </row>
    <row r="67" ht="15" customHeight="1" s="221">
      <c r="A67" s="410" t="inlineStr">
        <is>
          <t>Gastos Varios</t>
        </is>
      </c>
      <c r="B67" s="410" t="inlineStr">
        <is>
          <t>Ninguno</t>
        </is>
      </c>
      <c r="C67" s="411">
        <f>SUMIFS('Ing-Egr Octubre 2026'!F4:F103,'Ing-Egr Octubre 2026'!B4:B103,"Egreso Familiar",'Ing-Egr Octubre 2026'!C4:C103,A67)</f>
        <v/>
      </c>
      <c r="D67" s="463" t="n"/>
      <c r="E67" s="301" t="n"/>
      <c r="F67" s="301" t="n"/>
      <c r="G67" s="386" t="inlineStr">
        <is>
          <t>📊 SALUD FINANCIERA NEUROTEA</t>
        </is>
      </c>
      <c r="L67" s="301" t="n"/>
    </row>
    <row r="68" ht="15" customHeight="1" s="221">
      <c r="A68" s="405" t="inlineStr">
        <is>
          <t>Reserva Fam 1</t>
        </is>
      </c>
      <c r="B68" s="405" t="inlineStr">
        <is>
          <t>Ninguno</t>
        </is>
      </c>
      <c r="C68" s="406">
        <f>SUMIFS('Ing-Egr Octubre 2026'!F4:F103,'Ing-Egr Octubre 2026'!B4:B103,"Egreso Familiar",'Ing-Egr Octubre 2026'!C4:C103,A68)</f>
        <v/>
      </c>
      <c r="D68" s="460" t="n"/>
      <c r="E68" s="301" t="n"/>
      <c r="F68" s="301" t="n"/>
      <c r="G68" s="398" t="inlineStr">
        <is>
          <t>Concepto</t>
        </is>
      </c>
      <c r="H68" s="398" t="inlineStr">
        <is>
          <t>% Ideal</t>
        </is>
      </c>
      <c r="I68" s="426" t="inlineStr">
        <is>
          <t>Monto Ideal</t>
        </is>
      </c>
      <c r="J68" s="471" t="inlineStr">
        <is>
          <t>Monto Real</t>
        </is>
      </c>
      <c r="K68" s="398" t="inlineStr">
        <is>
          <t>Estado</t>
        </is>
      </c>
      <c r="L68" s="301" t="n"/>
    </row>
    <row r="69" ht="15" customHeight="1" s="221">
      <c r="A69" s="410" t="inlineStr">
        <is>
          <t>Reserva Fam 2</t>
        </is>
      </c>
      <c r="B69" s="410" t="inlineStr">
        <is>
          <t>Ninguno</t>
        </is>
      </c>
      <c r="C69" s="411">
        <f>SUMIFS('Ing-Egr Octubre 2026'!F4:F103,'Ing-Egr Octubre 2026'!B4:B103,"Egreso Familiar",'Ing-Egr Octubre 2026'!C4:C103,A69)</f>
        <v/>
      </c>
      <c r="D69" s="463" t="n"/>
      <c r="E69" s="301" t="n"/>
      <c r="F69" s="301" t="n"/>
      <c r="G69" s="301" t="inlineStr">
        <is>
          <t>Gastos Operativos (máx 75%)</t>
        </is>
      </c>
      <c r="H69" s="427" t="n">
        <v>0.75</v>
      </c>
      <c r="I69" s="328">
        <f>J12*0.75</f>
        <v/>
      </c>
      <c r="J69" s="466">
        <f>I64+I65</f>
        <v/>
      </c>
      <c r="K69" s="428">
        <f>IF(J12=0,"-",IF(J69/J12&lt;=0.75,"🟢 OK",IF(J69/J12&lt;=0.9,"🟡 PRECAUCIÓN","🔴 ALARMA")))</f>
        <v/>
      </c>
      <c r="L69" s="301" t="n"/>
    </row>
    <row r="70" ht="15" customHeight="1" s="221">
      <c r="A70" s="414" t="inlineStr">
        <is>
          <t>Reserva Fam 3</t>
        </is>
      </c>
      <c r="B70" s="414" t="inlineStr">
        <is>
          <t>Ninguno</t>
        </is>
      </c>
      <c r="C70" s="415">
        <f>SUMIFS('Ing-Egr Octubre 2026'!F4:F103,'Ing-Egr Octubre 2026'!B4:B103,"Egreso Familiar",'Ing-Egr Octubre 2026'!C4:C103,A70)</f>
        <v/>
      </c>
      <c r="D70" s="465" t="n"/>
      <c r="E70" s="301" t="n"/>
      <c r="F70" s="301" t="n"/>
      <c r="G70" s="301" t="inlineStr">
        <is>
          <t>Ganancia (10%)</t>
        </is>
      </c>
      <c r="H70" s="427" t="n">
        <v>0.1</v>
      </c>
      <c r="I70" s="328">
        <f>J12*0.1</f>
        <v/>
      </c>
      <c r="J70" s="466">
        <f>D22</f>
        <v/>
      </c>
      <c r="K70" s="429">
        <f>IF(J70&gt;=I70,"🟢","🔴")</f>
        <v/>
      </c>
      <c r="L70" s="301" t="n"/>
    </row>
    <row r="71" ht="15" customHeight="1" s="221">
      <c r="A71" s="301" t="n"/>
      <c r="B71" s="301" t="n"/>
      <c r="C71" s="301" t="n"/>
      <c r="D71" s="301" t="n"/>
      <c r="E71" s="301" t="n"/>
      <c r="F71" s="301" t="n"/>
      <c r="G71" s="301" t="inlineStr">
        <is>
          <t>Inversiones (5%)</t>
        </is>
      </c>
      <c r="H71" s="427" t="n">
        <v>0.05</v>
      </c>
      <c r="I71" s="328">
        <f>J12*0.05</f>
        <v/>
      </c>
      <c r="J71" s="328" t="n">
        <v>0</v>
      </c>
      <c r="K71" s="429">
        <f>IF(J71&gt;=I71,"🟢","🔴")</f>
        <v/>
      </c>
      <c r="L71" s="301" t="n"/>
    </row>
    <row r="72" ht="15" customHeight="1" s="221">
      <c r="A72" s="430" t="inlineStr">
        <is>
          <t>TOTAL FAM. PAGADOS</t>
        </is>
      </c>
      <c r="B72" s="353" t="n"/>
      <c r="C72" s="431">
        <f>SUMIF(B30:B70,"Pagado",C30:C70)</f>
        <v/>
      </c>
      <c r="D72" s="432" t="n"/>
      <c r="E72" s="301" t="n"/>
      <c r="F72" s="301" t="n"/>
      <c r="G72" s="301" t="inlineStr">
        <is>
          <t>Imprevistos (5%)</t>
        </is>
      </c>
      <c r="H72" s="427" t="n">
        <v>0.05</v>
      </c>
      <c r="I72" s="328">
        <f>J12*0.05</f>
        <v/>
      </c>
      <c r="J72" s="328" t="n">
        <v>0</v>
      </c>
      <c r="K72" s="429">
        <f>IF(J72&gt;=I72,"🟢","🔴")</f>
        <v/>
      </c>
      <c r="L72" s="301" t="n"/>
    </row>
    <row r="73" ht="15" customHeight="1" s="221">
      <c r="A73" s="433" t="inlineStr">
        <is>
          <t>TOTAL FAM. PENDIENTES</t>
        </is>
      </c>
      <c r="B73" s="353" t="n"/>
      <c r="C73" s="434">
        <f>SUMIF(B30:B70,"Pendiente",C30:C70)</f>
        <v/>
      </c>
      <c r="D73" s="435" t="n"/>
      <c r="E73" s="301" t="n"/>
      <c r="F73" s="301" t="n"/>
      <c r="G73" s="301" t="inlineStr">
        <is>
          <t>Desvío Imprevisto (5%)</t>
        </is>
      </c>
      <c r="H73" s="427" t="n">
        <v>0.05</v>
      </c>
      <c r="I73" s="328">
        <f>J12*0.05</f>
        <v/>
      </c>
      <c r="J73" s="328" t="n">
        <v>0</v>
      </c>
      <c r="K73" s="429">
        <f>IF(J73&gt;=I73,"🟢","🔴")</f>
        <v/>
      </c>
      <c r="L73" s="301" t="n"/>
    </row>
    <row r="74" ht="15" customHeight="1" s="221">
      <c r="A74" s="354" t="n"/>
      <c r="B74" s="354" t="n"/>
      <c r="C74" s="359" t="n"/>
      <c r="D74" s="360" t="n"/>
      <c r="E74" s="301" t="n"/>
      <c r="F74" s="301" t="n"/>
      <c r="G74" s="223" t="inlineStr">
        <is>
          <t>TOTAL</t>
        </is>
      </c>
      <c r="H74" s="436">
        <f>SUM(H69:H73)</f>
        <v/>
      </c>
      <c r="I74" s="437">
        <f>SUM(I69:I73)</f>
        <v/>
      </c>
      <c r="J74" s="437">
        <f>SUM(J69:J73)</f>
        <v/>
      </c>
      <c r="K74" s="301" t="n"/>
      <c r="L74" s="301" t="n"/>
    </row>
    <row r="75" ht="15" customHeight="1" s="221">
      <c r="A75" s="354" t="n"/>
      <c r="B75" s="354" t="n"/>
      <c r="C75" s="359" t="n"/>
      <c r="D75" s="360" t="n"/>
      <c r="E75" s="301" t="n"/>
      <c r="F75" s="301" t="n"/>
      <c r="G75" s="301" t="n"/>
      <c r="H75" s="301" t="n"/>
      <c r="I75" s="301" t="n"/>
      <c r="J75" s="301" t="n"/>
      <c r="K75" s="301" t="n"/>
      <c r="L75" s="301" t="n"/>
    </row>
    <row r="76" ht="15" customHeight="1" s="221">
      <c r="A76" s="354" t="n"/>
      <c r="B76" s="354" t="n"/>
      <c r="C76" s="359" t="n"/>
      <c r="D76" s="360" t="n"/>
      <c r="E76" s="301" t="n"/>
      <c r="F76" s="301" t="n"/>
      <c r="G76" s="223" t="inlineStr">
        <is>
          <t>% GASTOS SOBRE INGRESO:</t>
        </is>
      </c>
      <c r="H76" s="301" t="n"/>
      <c r="I76" s="301" t="n"/>
      <c r="J76" s="438">
        <f>IF(J12=0,0,J69/J12)</f>
        <v/>
      </c>
      <c r="K76" s="301" t="n"/>
      <c r="L76" s="301" t="n"/>
    </row>
    <row r="77" ht="15" customHeight="1" s="221">
      <c r="A77" s="354" t="n"/>
      <c r="B77" s="354" t="n"/>
      <c r="C77" s="359" t="n"/>
      <c r="D77" s="360" t="n"/>
      <c r="E77" s="301" t="n"/>
      <c r="F77" s="301" t="n"/>
      <c r="G77" s="223" t="inlineStr">
        <is>
          <t>DIAGNÓSTICO:</t>
        </is>
      </c>
      <c r="H77" s="301" t="n"/>
      <c r="I77" s="301" t="n"/>
      <c r="J77" s="439">
        <f>IF(J12=0,"Sin datos",IF(J69/J12&lt;=0.75,"🟢 CLÍNICA SANA",IF(J69/J12&lt;=0.9,"🟡 REVISAR GASTOS","🔴 SITUACIÓN CRÍTICA")))</f>
        <v/>
      </c>
      <c r="L77" s="301" t="n"/>
    </row>
    <row r="78" ht="15" customHeight="1" s="221">
      <c r="A78" s="354" t="n"/>
      <c r="B78" s="354" t="n"/>
      <c r="C78" s="359" t="n"/>
      <c r="D78" s="360" t="n"/>
      <c r="E78" s="301" t="n"/>
      <c r="F78" s="301" t="n"/>
      <c r="G78" s="301" t="n"/>
      <c r="H78" s="301" t="n"/>
      <c r="I78" s="301" t="n"/>
      <c r="J78" s="301" t="n"/>
      <c r="K78" s="301" t="n"/>
      <c r="L78" s="301" t="n"/>
    </row>
    <row r="79" ht="15" customHeight="1" s="221">
      <c r="A79" s="354" t="n"/>
      <c r="B79" s="354" t="n"/>
      <c r="C79" s="359" t="n"/>
      <c r="D79" s="360" t="n"/>
      <c r="E79" s="301" t="n"/>
      <c r="F79" s="301" t="n"/>
      <c r="G79" s="301" t="n"/>
      <c r="H79" s="301" t="n"/>
      <c r="I79" s="301" t="n"/>
      <c r="J79" s="301" t="n"/>
      <c r="K79" s="301" t="n"/>
      <c r="L79" s="301" t="n"/>
    </row>
    <row r="80" ht="15" customHeight="1" s="221">
      <c r="A80" s="301" t="n"/>
      <c r="B80" s="301" t="n"/>
      <c r="C80" s="328" t="n"/>
      <c r="D80" s="301" t="n"/>
      <c r="E80" s="301" t="n"/>
      <c r="F80" s="301" t="n"/>
      <c r="G80" s="301" t="n"/>
      <c r="H80" s="301" t="n"/>
      <c r="I80" s="301" t="n"/>
      <c r="J80" s="301" t="n"/>
      <c r="K80" s="301" t="n"/>
      <c r="L80" s="301" t="n"/>
    </row>
    <row r="81" ht="15.75" customHeight="1" s="221">
      <c r="A81" s="301" t="n"/>
      <c r="B81" s="301" t="n"/>
      <c r="C81" s="328" t="n"/>
      <c r="D81" s="301" t="n"/>
      <c r="E81" s="301" t="n"/>
      <c r="F81" s="301" t="n"/>
      <c r="G81" s="301" t="n"/>
      <c r="H81" s="301" t="n"/>
      <c r="I81" s="301" t="n"/>
      <c r="J81" s="301" t="n"/>
      <c r="K81" s="301" t="n"/>
      <c r="L81" s="301" t="n"/>
    </row>
    <row r="82" ht="15.75" customHeight="1" s="221">
      <c r="A82" s="301" t="n"/>
      <c r="B82" s="301" t="n"/>
      <c r="C82" s="328" t="n"/>
      <c r="D82" s="301" t="n"/>
      <c r="E82" s="301" t="n"/>
      <c r="F82" s="301" t="n"/>
      <c r="G82" s="301" t="n"/>
      <c r="H82" s="301" t="n"/>
      <c r="I82" s="301" t="n"/>
      <c r="J82" s="301" t="n"/>
      <c r="K82" s="301" t="n"/>
      <c r="L82" s="301" t="n"/>
    </row>
    <row r="83" ht="15" customHeight="1" s="221">
      <c r="A83" s="301" t="n"/>
      <c r="B83" s="301" t="n"/>
      <c r="C83" s="301" t="n"/>
      <c r="D83" s="301" t="n"/>
      <c r="E83" s="301" t="n"/>
      <c r="F83" s="301" t="n"/>
      <c r="G83" s="301" t="n"/>
      <c r="H83" s="301" t="n"/>
      <c r="I83" s="301" t="n"/>
      <c r="J83" s="301" t="n"/>
      <c r="K83" s="301" t="n"/>
      <c r="L83" s="301" t="n"/>
    </row>
    <row r="84" ht="15" customHeight="1" s="221">
      <c r="A84" s="301" t="n"/>
      <c r="B84" s="301" t="n"/>
      <c r="C84" s="301" t="n"/>
      <c r="D84" s="301" t="n"/>
      <c r="E84" s="301" t="n"/>
      <c r="F84" s="301" t="n"/>
      <c r="G84" s="301" t="n"/>
      <c r="H84" s="301" t="n"/>
      <c r="I84" s="301" t="n"/>
      <c r="J84" s="301" t="n"/>
      <c r="K84" s="301" t="n"/>
      <c r="L84" s="301" t="n"/>
    </row>
    <row r="85" ht="15" customHeight="1" s="221">
      <c r="A85" s="354" t="n"/>
      <c r="B85" s="354" t="n"/>
      <c r="C85" s="354" t="n"/>
      <c r="D85" s="354" t="n"/>
      <c r="E85" s="301" t="n"/>
      <c r="F85" s="301" t="n"/>
      <c r="G85" s="301" t="n"/>
      <c r="H85" s="301" t="n"/>
      <c r="I85" s="301" t="n"/>
      <c r="J85" s="301" t="n"/>
      <c r="K85" s="301" t="n"/>
      <c r="L85" s="301" t="n"/>
    </row>
    <row r="86" ht="15" customHeight="1" s="221">
      <c r="A86" s="301" t="n"/>
      <c r="B86" s="301" t="n"/>
      <c r="C86" s="301" t="n"/>
      <c r="D86" s="301" t="n"/>
      <c r="E86" s="301" t="n"/>
      <c r="F86" s="301" t="n"/>
      <c r="G86" s="301" t="n"/>
      <c r="H86" s="301" t="n"/>
      <c r="I86" s="301" t="n"/>
      <c r="J86" s="301" t="n"/>
      <c r="K86" s="301" t="n"/>
      <c r="L86" s="301" t="n"/>
    </row>
    <row r="87" ht="15" customHeight="1" s="221">
      <c r="A87" s="354" t="n"/>
      <c r="B87" s="354" t="n"/>
      <c r="C87" s="359" t="n"/>
      <c r="D87" s="360" t="n"/>
      <c r="E87" s="301" t="n"/>
      <c r="F87" s="301" t="n"/>
      <c r="G87" s="301" t="n"/>
      <c r="H87" s="301" t="n"/>
      <c r="I87" s="301" t="n"/>
      <c r="J87" s="301" t="n"/>
      <c r="K87" s="301" t="n"/>
      <c r="L87" s="301" t="n"/>
    </row>
    <row r="88" ht="15" customHeight="1" s="221">
      <c r="A88" s="354" t="n"/>
      <c r="B88" s="354" t="n"/>
      <c r="C88" s="359" t="n"/>
      <c r="D88" s="360" t="n"/>
      <c r="E88" s="301" t="n"/>
      <c r="F88" s="301" t="n"/>
      <c r="G88" s="301" t="n"/>
      <c r="H88" s="301" t="n"/>
      <c r="I88" s="301" t="n"/>
      <c r="J88" s="301" t="n"/>
      <c r="K88" s="301" t="n"/>
      <c r="L88" s="301" t="n"/>
    </row>
    <row r="89" ht="15" customHeight="1" s="221">
      <c r="A89" s="354" t="n"/>
      <c r="B89" s="354" t="n"/>
      <c r="C89" s="359" t="n"/>
      <c r="D89" s="360" t="n"/>
      <c r="E89" s="301" t="n"/>
      <c r="F89" s="301" t="n"/>
      <c r="G89" s="301" t="n"/>
      <c r="H89" s="301" t="n"/>
      <c r="I89" s="301" t="n"/>
      <c r="J89" s="301" t="n"/>
      <c r="K89" s="301" t="n"/>
      <c r="L89" s="301" t="n"/>
    </row>
    <row r="90" ht="15" customHeight="1" s="221">
      <c r="A90" s="354" t="n"/>
      <c r="B90" s="354" t="n"/>
      <c r="C90" s="359" t="n"/>
      <c r="D90" s="360" t="n"/>
      <c r="E90" s="301" t="n"/>
      <c r="F90" s="301" t="n"/>
      <c r="G90" s="301" t="n"/>
      <c r="H90" s="301" t="n"/>
      <c r="I90" s="301" t="n"/>
      <c r="J90" s="301" t="n"/>
      <c r="K90" s="301" t="n"/>
      <c r="L90" s="301" t="n"/>
    </row>
    <row r="91" ht="15" customHeight="1" s="221">
      <c r="A91" s="301" t="n"/>
      <c r="B91" s="301" t="n"/>
      <c r="C91" s="328" t="n"/>
      <c r="D91" s="301" t="n"/>
      <c r="E91" s="301" t="n"/>
      <c r="F91" s="301" t="n"/>
      <c r="G91" s="301" t="n"/>
      <c r="H91" s="301" t="n"/>
      <c r="I91" s="301" t="n"/>
      <c r="J91" s="301" t="n"/>
      <c r="K91" s="301" t="n"/>
      <c r="L91" s="301" t="n"/>
    </row>
    <row r="92" ht="15" customHeight="1" s="221">
      <c r="A92" s="301" t="n"/>
      <c r="B92" s="301" t="n"/>
      <c r="C92" s="301" t="n"/>
      <c r="D92" s="301" t="n"/>
      <c r="E92" s="301" t="n"/>
      <c r="F92" s="301" t="n"/>
      <c r="G92" s="301" t="n"/>
      <c r="H92" s="301" t="n"/>
      <c r="I92" s="301" t="n"/>
      <c r="J92" s="301" t="n"/>
      <c r="K92" s="301" t="n"/>
      <c r="L92" s="301" t="n"/>
    </row>
    <row r="93" ht="15" customHeight="1" s="221">
      <c r="A93" s="354" t="n"/>
      <c r="B93" s="354" t="n"/>
      <c r="C93" s="359" t="n"/>
      <c r="D93" s="360" t="n"/>
      <c r="E93" s="301" t="n"/>
      <c r="F93" s="301" t="n"/>
      <c r="G93" s="301" t="n"/>
      <c r="H93" s="301" t="n"/>
      <c r="I93" s="301" t="n"/>
      <c r="J93" s="301" t="n"/>
      <c r="K93" s="301" t="n"/>
      <c r="L93" s="301" t="n"/>
    </row>
    <row r="94" ht="15" customHeight="1" s="221">
      <c r="A94" s="354" t="n"/>
      <c r="B94" s="354" t="n"/>
      <c r="C94" s="359" t="n"/>
      <c r="D94" s="360" t="n"/>
      <c r="E94" s="301" t="n"/>
      <c r="F94" s="301" t="n"/>
      <c r="G94" s="301" t="n"/>
      <c r="H94" s="301" t="n"/>
      <c r="I94" s="301" t="n"/>
      <c r="J94" s="301" t="n"/>
      <c r="K94" s="301" t="n"/>
      <c r="L94" s="301" t="n"/>
    </row>
    <row r="95" ht="15" customHeight="1" s="221">
      <c r="A95" s="354" t="n"/>
      <c r="B95" s="354" t="n"/>
      <c r="C95" s="359" t="n"/>
      <c r="D95" s="360" t="n"/>
      <c r="E95" s="301" t="n"/>
      <c r="F95" s="301" t="n"/>
      <c r="G95" s="301" t="n"/>
      <c r="H95" s="301" t="n"/>
      <c r="I95" s="301" t="n"/>
      <c r="J95" s="301" t="n"/>
      <c r="K95" s="301" t="n"/>
      <c r="L95" s="301" t="n"/>
    </row>
    <row r="96" ht="15" customHeight="1" s="221">
      <c r="A96" s="354" t="n"/>
      <c r="B96" s="354" t="n"/>
      <c r="C96" s="359" t="n"/>
      <c r="D96" s="360" t="n"/>
      <c r="E96" s="301" t="n"/>
      <c r="F96" s="301" t="n"/>
      <c r="G96" s="301" t="n"/>
      <c r="H96" s="301" t="n"/>
      <c r="I96" s="301" t="n"/>
      <c r="J96" s="301" t="n"/>
      <c r="K96" s="301" t="n"/>
      <c r="L96" s="301" t="n"/>
    </row>
    <row r="97" ht="15" customHeight="1" s="221">
      <c r="A97" s="354" t="n"/>
      <c r="B97" s="354" t="n"/>
      <c r="C97" s="359" t="n"/>
      <c r="D97" s="360" t="n"/>
      <c r="E97" s="301" t="n"/>
      <c r="F97" s="301" t="n"/>
      <c r="G97" s="301" t="n"/>
      <c r="H97" s="301" t="n"/>
      <c r="I97" s="301" t="n"/>
      <c r="J97" s="301" t="n"/>
      <c r="K97" s="301" t="n"/>
      <c r="L97" s="301" t="n"/>
    </row>
    <row r="98" ht="15" customHeight="1" s="221">
      <c r="A98" s="354" t="n"/>
      <c r="B98" s="354" t="n"/>
      <c r="C98" s="359" t="n"/>
      <c r="D98" s="360" t="n"/>
      <c r="E98" s="301" t="n"/>
      <c r="F98" s="301" t="n"/>
      <c r="G98" s="301" t="n"/>
      <c r="H98" s="301" t="n"/>
      <c r="I98" s="301" t="n"/>
      <c r="J98" s="301" t="n"/>
      <c r="K98" s="301" t="n"/>
      <c r="L98" s="301" t="n"/>
    </row>
    <row r="99" ht="15" customHeight="1" s="221">
      <c r="A99" s="301" t="n"/>
      <c r="B99" s="301" t="n"/>
      <c r="C99" s="328" t="n"/>
      <c r="D99" s="301" t="n"/>
      <c r="E99" s="301" t="n"/>
      <c r="F99" s="301" t="n"/>
      <c r="G99" s="301" t="n"/>
      <c r="H99" s="301" t="n"/>
      <c r="I99" s="301" t="n"/>
      <c r="J99" s="301" t="n"/>
      <c r="K99" s="301" t="n"/>
      <c r="L99" s="301" t="n"/>
    </row>
    <row r="100" ht="15" customHeight="1" s="221">
      <c r="A100" s="301" t="n"/>
      <c r="B100" s="301" t="n"/>
      <c r="C100" s="301" t="n"/>
      <c r="D100" s="301" t="n"/>
      <c r="E100" s="301" t="n"/>
      <c r="F100" s="301" t="n"/>
      <c r="G100" s="301" t="n"/>
      <c r="H100" s="301" t="n"/>
      <c r="I100" s="301" t="n"/>
      <c r="J100" s="301" t="n"/>
      <c r="K100" s="301" t="n"/>
      <c r="L100" s="301" t="n"/>
    </row>
    <row r="101" ht="15" customHeight="1" s="221">
      <c r="A101" s="354" t="n"/>
      <c r="B101" s="354" t="n"/>
      <c r="C101" s="359" t="n"/>
      <c r="D101" s="360" t="n"/>
      <c r="E101" s="301" t="n"/>
      <c r="F101" s="301" t="n"/>
      <c r="G101" s="301" t="n"/>
      <c r="H101" s="301" t="n"/>
      <c r="I101" s="301" t="n"/>
      <c r="J101" s="301" t="n"/>
      <c r="K101" s="301" t="n"/>
      <c r="L101" s="301" t="n"/>
    </row>
    <row r="102" ht="15" customHeight="1" s="221">
      <c r="A102" s="354" t="n"/>
      <c r="B102" s="354" t="n"/>
      <c r="C102" s="359" t="n"/>
      <c r="D102" s="360" t="n"/>
      <c r="E102" s="301" t="n"/>
      <c r="F102" s="301" t="n"/>
      <c r="G102" s="301" t="n"/>
      <c r="H102" s="301" t="n"/>
      <c r="I102" s="301" t="n"/>
      <c r="J102" s="301" t="n"/>
      <c r="K102" s="301" t="n"/>
      <c r="L102" s="301" t="n"/>
    </row>
    <row r="103" ht="15" customHeight="1" s="221">
      <c r="A103" s="354" t="n"/>
      <c r="B103" s="354" t="n"/>
      <c r="C103" s="359" t="n"/>
      <c r="D103" s="360" t="n"/>
      <c r="E103" s="301" t="n"/>
      <c r="F103" s="301" t="n"/>
      <c r="G103" s="301" t="n"/>
      <c r="H103" s="301" t="n"/>
      <c r="I103" s="301" t="n"/>
      <c r="J103" s="301" t="n"/>
      <c r="K103" s="301" t="n"/>
      <c r="L103" s="301" t="n"/>
    </row>
    <row r="104" ht="15" customHeight="1" s="221">
      <c r="A104" s="354" t="n"/>
      <c r="B104" s="354" t="n"/>
      <c r="C104" s="359" t="n"/>
      <c r="D104" s="360" t="n"/>
      <c r="E104" s="301" t="n"/>
      <c r="F104" s="301" t="n"/>
      <c r="G104" s="301" t="n"/>
      <c r="H104" s="301" t="n"/>
      <c r="I104" s="301" t="n"/>
      <c r="J104" s="301" t="n"/>
      <c r="K104" s="301" t="n"/>
      <c r="L104" s="301" t="n"/>
    </row>
    <row r="105" ht="15" customHeight="1" s="221">
      <c r="A105" s="354" t="n"/>
      <c r="B105" s="354" t="n"/>
      <c r="C105" s="359" t="n"/>
      <c r="D105" s="360" t="n"/>
      <c r="E105" s="301" t="n"/>
      <c r="F105" s="301" t="n"/>
      <c r="G105" s="301" t="n"/>
      <c r="H105" s="301" t="n"/>
      <c r="I105" s="301" t="n"/>
      <c r="J105" s="301" t="n"/>
      <c r="K105" s="301" t="n"/>
      <c r="L105" s="301" t="n"/>
    </row>
    <row r="106" ht="15" customHeight="1" s="221">
      <c r="A106" s="301" t="n"/>
      <c r="B106" s="301" t="n"/>
      <c r="C106" s="328" t="n"/>
      <c r="D106" s="301" t="n"/>
      <c r="E106" s="301" t="n"/>
      <c r="F106" s="301" t="n"/>
      <c r="G106" s="301" t="n"/>
      <c r="H106" s="301" t="n"/>
      <c r="I106" s="301" t="n"/>
      <c r="J106" s="301" t="n"/>
      <c r="K106" s="301" t="n"/>
      <c r="L106" s="301" t="n"/>
    </row>
    <row r="107" ht="15" customHeight="1" s="221">
      <c r="A107" s="301" t="n"/>
      <c r="B107" s="301" t="n"/>
      <c r="C107" s="301" t="n"/>
      <c r="D107" s="301" t="n"/>
      <c r="E107" s="301" t="n"/>
      <c r="F107" s="301" t="n"/>
      <c r="G107" s="301" t="n"/>
      <c r="H107" s="301" t="n"/>
      <c r="I107" s="301" t="n"/>
      <c r="J107" s="301" t="n"/>
      <c r="K107" s="301" t="n"/>
      <c r="L107" s="301" t="n"/>
    </row>
    <row r="108" ht="15" customHeight="1" s="221">
      <c r="A108" s="354" t="n"/>
      <c r="B108" s="354" t="n"/>
      <c r="C108" s="359" t="n"/>
      <c r="D108" s="360" t="n"/>
      <c r="E108" s="301" t="n"/>
      <c r="F108" s="301" t="n"/>
      <c r="G108" s="301" t="n"/>
      <c r="H108" s="301" t="n"/>
      <c r="I108" s="301" t="n"/>
      <c r="J108" s="301" t="n"/>
      <c r="K108" s="301" t="n"/>
      <c r="L108" s="301" t="n"/>
    </row>
    <row r="109" ht="15" customHeight="1" s="221">
      <c r="A109" s="354" t="n"/>
      <c r="B109" s="354" t="n"/>
      <c r="C109" s="359" t="n"/>
      <c r="D109" s="360" t="n"/>
      <c r="E109" s="301" t="n"/>
      <c r="F109" s="301" t="n"/>
      <c r="G109" s="301" t="n"/>
      <c r="H109" s="301" t="n"/>
      <c r="I109" s="301" t="n"/>
      <c r="J109" s="301" t="n"/>
      <c r="K109" s="301" t="n"/>
      <c r="L109" s="301" t="n"/>
    </row>
    <row r="110" ht="15" customHeight="1" s="221">
      <c r="A110" s="301" t="n"/>
      <c r="B110" s="301" t="n"/>
      <c r="C110" s="328" t="n"/>
      <c r="D110" s="301" t="n"/>
      <c r="E110" s="301" t="n"/>
      <c r="F110" s="301" t="n"/>
      <c r="G110" s="301" t="n"/>
      <c r="H110" s="301" t="n"/>
      <c r="I110" s="301" t="n"/>
      <c r="J110" s="301" t="n"/>
      <c r="K110" s="301" t="n"/>
      <c r="L110" s="301" t="n"/>
    </row>
    <row r="111" ht="15" customHeight="1" s="221">
      <c r="A111" s="301" t="n"/>
      <c r="B111" s="301" t="n"/>
      <c r="C111" s="301" t="n"/>
      <c r="D111" s="301" t="n"/>
      <c r="E111" s="301" t="n"/>
      <c r="F111" s="301" t="n"/>
      <c r="G111" s="301" t="n"/>
      <c r="H111" s="301" t="n"/>
      <c r="I111" s="301" t="n"/>
      <c r="J111" s="301" t="n"/>
      <c r="K111" s="301" t="n"/>
      <c r="L111" s="301" t="n"/>
    </row>
    <row r="112" ht="15" customHeight="1" s="221">
      <c r="A112" s="354" t="n"/>
      <c r="B112" s="354" t="n"/>
      <c r="C112" s="359" t="n"/>
      <c r="D112" s="360" t="n"/>
      <c r="E112" s="301" t="n"/>
      <c r="F112" s="301" t="n"/>
      <c r="G112" s="301" t="n"/>
      <c r="H112" s="301" t="n"/>
      <c r="I112" s="301" t="n"/>
      <c r="J112" s="301" t="n"/>
      <c r="K112" s="301" t="n"/>
      <c r="L112" s="301" t="n"/>
    </row>
    <row r="113" ht="15" customHeight="1" s="221">
      <c r="A113" s="354" t="n"/>
      <c r="B113" s="354" t="n"/>
      <c r="C113" s="359" t="n"/>
      <c r="D113" s="360" t="n"/>
      <c r="E113" s="301" t="n"/>
      <c r="F113" s="301" t="n"/>
      <c r="G113" s="301" t="n"/>
      <c r="H113" s="301" t="n"/>
      <c r="I113" s="301" t="n"/>
      <c r="J113" s="301" t="n"/>
      <c r="K113" s="301" t="n"/>
      <c r="L113" s="301" t="n"/>
    </row>
    <row r="114" ht="15" customHeight="1" s="221">
      <c r="A114" s="354" t="n"/>
      <c r="B114" s="354" t="n"/>
      <c r="C114" s="359" t="n"/>
      <c r="D114" s="360" t="n"/>
      <c r="E114" s="301" t="n"/>
      <c r="F114" s="301" t="n"/>
      <c r="G114" s="301" t="n"/>
      <c r="H114" s="301" t="n"/>
      <c r="I114" s="301" t="n"/>
      <c r="J114" s="301" t="n"/>
      <c r="K114" s="301" t="n"/>
      <c r="L114" s="301" t="n"/>
    </row>
    <row r="115" ht="15" customHeight="1" s="221">
      <c r="A115" s="354" t="n"/>
      <c r="B115" s="354" t="n"/>
      <c r="C115" s="359" t="n"/>
      <c r="D115" s="360" t="n"/>
      <c r="E115" s="301" t="n"/>
      <c r="F115" s="301" t="n"/>
      <c r="G115" s="301" t="n"/>
      <c r="H115" s="301" t="n"/>
      <c r="I115" s="301" t="n"/>
      <c r="J115" s="301" t="n"/>
      <c r="K115" s="301" t="n"/>
      <c r="L115" s="301" t="n"/>
    </row>
    <row r="116" ht="15" customHeight="1" s="221">
      <c r="A116" s="354" t="n"/>
      <c r="B116" s="354" t="n"/>
      <c r="C116" s="359" t="n"/>
      <c r="D116" s="360" t="n"/>
      <c r="E116" s="301" t="n"/>
      <c r="F116" s="301" t="n"/>
      <c r="G116" s="301" t="n"/>
      <c r="H116" s="301" t="n"/>
      <c r="I116" s="301" t="n"/>
      <c r="J116" s="301" t="n"/>
      <c r="K116" s="301" t="n"/>
      <c r="L116" s="301" t="n"/>
    </row>
    <row r="117" ht="15" customHeight="1" s="221">
      <c r="A117" s="354" t="n"/>
      <c r="B117" s="354" t="n"/>
      <c r="C117" s="359" t="n"/>
      <c r="D117" s="360" t="n"/>
      <c r="E117" s="301" t="n"/>
      <c r="F117" s="301" t="n"/>
      <c r="G117" s="301" t="n"/>
      <c r="H117" s="301" t="n"/>
      <c r="I117" s="301" t="n"/>
      <c r="J117" s="301" t="n"/>
      <c r="K117" s="301" t="n"/>
      <c r="L117" s="301" t="n"/>
    </row>
    <row r="118" ht="15" customHeight="1" s="221">
      <c r="A118" s="354" t="n"/>
      <c r="B118" s="354" t="n"/>
      <c r="C118" s="359" t="n"/>
      <c r="D118" s="360" t="n"/>
      <c r="E118" s="301" t="n"/>
      <c r="F118" s="301" t="n"/>
      <c r="G118" s="301" t="n"/>
      <c r="H118" s="301" t="n"/>
      <c r="I118" s="301" t="n"/>
      <c r="J118" s="301" t="n"/>
      <c r="K118" s="301" t="n"/>
      <c r="L118" s="301" t="n"/>
    </row>
    <row r="119" ht="15" customHeight="1" s="221">
      <c r="A119" s="354" t="n"/>
      <c r="B119" s="354" t="n"/>
      <c r="C119" s="359" t="n"/>
      <c r="D119" s="360" t="n"/>
      <c r="E119" s="301" t="n"/>
      <c r="F119" s="301" t="n"/>
      <c r="G119" s="301" t="n"/>
      <c r="H119" s="301" t="n"/>
      <c r="I119" s="301" t="n"/>
      <c r="J119" s="301" t="n"/>
      <c r="K119" s="301" t="n"/>
      <c r="L119" s="301" t="n"/>
    </row>
    <row r="120" ht="15" customHeight="1" s="221">
      <c r="A120" s="354" t="n"/>
      <c r="B120" s="354" t="n"/>
      <c r="C120" s="359" t="n"/>
      <c r="D120" s="360" t="n"/>
      <c r="E120" s="301" t="n"/>
      <c r="F120" s="301" t="n"/>
      <c r="G120" s="301" t="n"/>
      <c r="H120" s="301" t="n"/>
      <c r="I120" s="301" t="n"/>
      <c r="J120" s="301" t="n"/>
      <c r="K120" s="301" t="n"/>
      <c r="L120" s="301" t="n"/>
    </row>
    <row r="121" ht="15" customHeight="1" s="221">
      <c r="A121" s="301" t="n"/>
      <c r="B121" s="301" t="n"/>
      <c r="C121" s="328" t="n"/>
      <c r="D121" s="301" t="n"/>
      <c r="E121" s="301" t="n"/>
      <c r="F121" s="301" t="n"/>
      <c r="G121" s="301" t="n"/>
      <c r="H121" s="301" t="n"/>
      <c r="I121" s="301" t="n"/>
      <c r="J121" s="301" t="n"/>
      <c r="K121" s="301" t="n"/>
      <c r="L121" s="301" t="n"/>
    </row>
    <row r="122" ht="15.75" customHeight="1" s="221">
      <c r="A122" s="301" t="n"/>
      <c r="B122" s="301" t="n"/>
      <c r="C122" s="328" t="n"/>
      <c r="D122" s="301" t="n"/>
      <c r="E122" s="301" t="n"/>
      <c r="F122" s="301" t="n"/>
      <c r="G122" s="301" t="n"/>
      <c r="H122" s="301" t="n"/>
      <c r="I122" s="301" t="n"/>
      <c r="J122" s="301" t="n"/>
      <c r="K122" s="301" t="n"/>
      <c r="L122" s="301" t="n"/>
    </row>
    <row r="123" ht="15.75" customHeight="1" s="221">
      <c r="A123" s="301" t="n"/>
      <c r="B123" s="301" t="n"/>
      <c r="C123" s="328" t="n"/>
      <c r="D123" s="301" t="n"/>
      <c r="E123" s="301" t="n"/>
      <c r="F123" s="301" t="n"/>
      <c r="G123" s="301" t="n"/>
      <c r="H123" s="301" t="n"/>
      <c r="I123" s="301" t="n"/>
      <c r="J123" s="301" t="n"/>
      <c r="K123" s="301" t="n"/>
      <c r="L123" s="301" t="n"/>
    </row>
    <row r="124" ht="15" customHeight="1" s="221">
      <c r="A124" s="301" t="n"/>
      <c r="B124" s="301" t="n"/>
      <c r="C124" s="301" t="n"/>
      <c r="D124" s="301" t="n"/>
      <c r="E124" s="301" t="n"/>
      <c r="F124" s="301" t="n"/>
      <c r="G124" s="301" t="n"/>
      <c r="H124" s="301" t="n"/>
      <c r="I124" s="301" t="n"/>
      <c r="J124" s="301" t="n"/>
      <c r="K124" s="301" t="n"/>
      <c r="L124" s="301" t="n"/>
    </row>
    <row r="125" ht="15" customHeight="1" s="221">
      <c r="A125" s="301" t="n"/>
      <c r="B125" s="301" t="n"/>
      <c r="C125" s="301" t="n"/>
      <c r="D125" s="301" t="n"/>
      <c r="E125" s="301" t="n"/>
      <c r="F125" s="301" t="n"/>
      <c r="G125" s="301" t="n"/>
      <c r="H125" s="301" t="n"/>
      <c r="I125" s="301" t="n"/>
      <c r="J125" s="301" t="n"/>
      <c r="K125" s="301" t="n"/>
      <c r="L125" s="301" t="n"/>
    </row>
    <row r="126" ht="15" customHeight="1" s="221">
      <c r="A126" s="301" t="n"/>
      <c r="B126" s="301" t="n"/>
      <c r="C126" s="301" t="n"/>
      <c r="D126" s="301" t="n"/>
      <c r="E126" s="301" t="n"/>
      <c r="F126" s="301" t="n"/>
      <c r="G126" s="301" t="n"/>
      <c r="H126" s="301" t="n"/>
      <c r="I126" s="301" t="n"/>
      <c r="J126" s="301" t="n"/>
      <c r="K126" s="301" t="n"/>
      <c r="L126" s="301" t="n"/>
    </row>
    <row r="127" ht="15" customHeight="1" s="221">
      <c r="A127" s="301" t="n"/>
      <c r="B127" s="301" t="n"/>
      <c r="C127" s="301" t="n"/>
      <c r="D127" s="301" t="n"/>
      <c r="E127" s="301" t="n"/>
      <c r="F127" s="301" t="n"/>
      <c r="G127" s="301" t="n"/>
      <c r="H127" s="301" t="n"/>
      <c r="I127" s="301" t="n"/>
      <c r="J127" s="301" t="n"/>
      <c r="K127" s="301" t="n"/>
      <c r="L127" s="301" t="n"/>
    </row>
    <row r="128" ht="15" customHeight="1" s="221">
      <c r="A128" s="301" t="n"/>
      <c r="B128" s="301" t="n"/>
      <c r="C128" s="301" t="n"/>
      <c r="D128" s="301" t="n"/>
      <c r="E128" s="301" t="n"/>
      <c r="F128" s="301" t="n"/>
      <c r="G128" s="301" t="n"/>
      <c r="H128" s="301" t="n"/>
      <c r="I128" s="301" t="n"/>
      <c r="J128" s="301" t="n"/>
      <c r="K128" s="301" t="n"/>
      <c r="L128" s="301" t="n"/>
    </row>
    <row r="129" ht="15" customHeight="1" s="221">
      <c r="A129" s="301" t="n"/>
      <c r="B129" s="301" t="n"/>
      <c r="C129" s="301" t="n"/>
      <c r="D129" s="301" t="n"/>
      <c r="E129" s="301" t="n"/>
      <c r="F129" s="301" t="n"/>
      <c r="G129" s="301" t="n"/>
      <c r="H129" s="301" t="n"/>
      <c r="I129" s="301" t="n"/>
      <c r="J129" s="301" t="n"/>
      <c r="K129" s="301" t="n"/>
      <c r="L129" s="301" t="n"/>
    </row>
    <row r="130" ht="15" customHeight="1" s="221">
      <c r="A130" s="301" t="n"/>
      <c r="B130" s="301" t="n"/>
      <c r="C130" s="301" t="n"/>
      <c r="D130" s="301" t="n"/>
      <c r="E130" s="301" t="n"/>
      <c r="F130" s="301" t="n"/>
      <c r="G130" s="301" t="n"/>
      <c r="H130" s="301" t="n"/>
      <c r="I130" s="301" t="n"/>
      <c r="J130" s="301" t="n"/>
      <c r="K130" s="301" t="n"/>
      <c r="L130" s="301" t="n"/>
    </row>
    <row r="131" ht="15" customHeight="1" s="221">
      <c r="A131" s="301" t="n"/>
      <c r="B131" s="301" t="n"/>
      <c r="C131" s="301" t="n"/>
      <c r="D131" s="301" t="n"/>
      <c r="E131" s="301" t="n"/>
      <c r="F131" s="301" t="n"/>
      <c r="G131" s="301" t="n"/>
      <c r="H131" s="301" t="n"/>
      <c r="I131" s="301" t="n"/>
      <c r="J131" s="301" t="n"/>
      <c r="K131" s="301" t="n"/>
      <c r="L131" s="301" t="n"/>
    </row>
    <row r="132" ht="15" customHeight="1" s="221">
      <c r="A132" s="301" t="n"/>
      <c r="B132" s="301" t="n"/>
      <c r="C132" s="301" t="n"/>
      <c r="D132" s="301" t="n"/>
      <c r="E132" s="301" t="n"/>
      <c r="F132" s="301" t="n"/>
      <c r="G132" s="301" t="n"/>
      <c r="H132" s="301" t="n"/>
      <c r="I132" s="301" t="n"/>
      <c r="J132" s="301" t="n"/>
      <c r="K132" s="301" t="n"/>
      <c r="L132" s="301" t="n"/>
    </row>
    <row r="133" ht="15" customHeight="1" s="221">
      <c r="A133" s="301" t="n"/>
      <c r="B133" s="301" t="n"/>
      <c r="C133" s="301" t="n"/>
      <c r="D133" s="301" t="n"/>
      <c r="E133" s="301" t="n"/>
      <c r="F133" s="301" t="n"/>
      <c r="G133" s="301" t="n"/>
      <c r="H133" s="301" t="n"/>
      <c r="I133" s="301" t="n"/>
      <c r="J133" s="301" t="n"/>
      <c r="K133" s="301" t="n"/>
      <c r="L133" s="301" t="n"/>
    </row>
    <row r="134" ht="15" customHeight="1" s="221">
      <c r="A134" s="301" t="n"/>
      <c r="B134" s="301" t="n"/>
      <c r="C134" s="301" t="n"/>
      <c r="D134" s="301" t="n"/>
      <c r="E134" s="301" t="n"/>
      <c r="F134" s="301" t="n"/>
      <c r="G134" s="301" t="n"/>
      <c r="H134" s="301" t="n"/>
      <c r="I134" s="301" t="n"/>
      <c r="J134" s="301" t="n"/>
      <c r="K134" s="301" t="n"/>
      <c r="L134" s="301" t="n"/>
    </row>
    <row r="135" ht="15" customHeight="1" s="221">
      <c r="A135" s="301" t="n"/>
      <c r="B135" s="301" t="n"/>
      <c r="C135" s="301" t="n"/>
      <c r="D135" s="301" t="n"/>
      <c r="E135" s="301" t="n"/>
      <c r="F135" s="301" t="n"/>
      <c r="G135" s="301" t="n"/>
      <c r="H135" s="301" t="n"/>
      <c r="I135" s="301" t="n"/>
      <c r="J135" s="301" t="n"/>
      <c r="K135" s="301" t="n"/>
      <c r="L135" s="301" t="n"/>
    </row>
    <row r="136" ht="15" customHeight="1" s="221">
      <c r="A136" s="301" t="n"/>
      <c r="B136" s="301" t="n"/>
      <c r="C136" s="301" t="n"/>
      <c r="D136" s="301" t="n"/>
      <c r="E136" s="301" t="n"/>
      <c r="F136" s="301" t="n"/>
      <c r="G136" s="301" t="n"/>
      <c r="H136" s="301" t="n"/>
      <c r="I136" s="301" t="n"/>
      <c r="J136" s="301" t="n"/>
      <c r="K136" s="301" t="n"/>
      <c r="L136" s="301" t="n"/>
    </row>
    <row r="137" ht="15" customHeight="1" s="221">
      <c r="A137" s="301" t="n"/>
      <c r="B137" s="301" t="n"/>
      <c r="C137" s="301" t="n"/>
      <c r="D137" s="301" t="n"/>
      <c r="E137" s="301" t="n"/>
      <c r="F137" s="301" t="n"/>
      <c r="G137" s="301" t="n"/>
      <c r="H137" s="301" t="n"/>
      <c r="I137" s="301" t="n"/>
      <c r="J137" s="301" t="n"/>
      <c r="K137" s="301" t="n"/>
      <c r="L137" s="301" t="n"/>
    </row>
    <row r="138" ht="15" customHeight="1" s="221">
      <c r="A138" s="301" t="n"/>
      <c r="B138" s="301" t="n"/>
      <c r="C138" s="301" t="n"/>
      <c r="D138" s="301" t="n"/>
      <c r="E138" s="301" t="n"/>
      <c r="F138" s="301" t="n"/>
      <c r="G138" s="301" t="n"/>
      <c r="H138" s="301" t="n"/>
      <c r="I138" s="301" t="n"/>
      <c r="J138" s="301" t="n"/>
      <c r="K138" s="301" t="n"/>
      <c r="L138" s="301" t="n"/>
    </row>
    <row r="139" ht="15" customHeight="1" s="221">
      <c r="A139" s="301" t="n"/>
      <c r="B139" s="301" t="n"/>
      <c r="C139" s="301" t="n"/>
      <c r="D139" s="301" t="n"/>
      <c r="E139" s="301" t="n"/>
      <c r="F139" s="301" t="n"/>
      <c r="G139" s="301" t="n"/>
      <c r="H139" s="301" t="n"/>
      <c r="I139" s="301" t="n"/>
      <c r="J139" s="301" t="n"/>
      <c r="K139" s="301" t="n"/>
      <c r="L139" s="301" t="n"/>
    </row>
    <row r="140" ht="15" customHeight="1" s="221">
      <c r="A140" s="301" t="n"/>
      <c r="B140" s="301" t="n"/>
      <c r="C140" s="301" t="n"/>
      <c r="D140" s="301" t="n"/>
      <c r="E140" s="301" t="n"/>
      <c r="F140" s="301" t="n"/>
      <c r="G140" s="301" t="n"/>
      <c r="H140" s="301" t="n"/>
      <c r="I140" s="301" t="n"/>
      <c r="J140" s="301" t="n"/>
      <c r="K140" s="301" t="n"/>
      <c r="L140" s="301" t="n"/>
    </row>
    <row r="141" ht="15" customHeight="1" s="221">
      <c r="A141" s="301" t="n"/>
      <c r="B141" s="301" t="n"/>
      <c r="C141" s="301" t="n"/>
      <c r="D141" s="301" t="n"/>
      <c r="E141" s="301" t="n"/>
      <c r="F141" s="301" t="n"/>
      <c r="G141" s="301" t="n"/>
      <c r="H141" s="301" t="n"/>
      <c r="I141" s="301" t="n"/>
      <c r="J141" s="301" t="n"/>
      <c r="K141" s="301" t="n"/>
      <c r="L141" s="301" t="n"/>
    </row>
    <row r="142" ht="15" customHeight="1" s="221">
      <c r="A142" s="301" t="n"/>
      <c r="B142" s="301" t="n"/>
      <c r="C142" s="301" t="n"/>
      <c r="D142" s="301" t="n"/>
      <c r="E142" s="301" t="n"/>
      <c r="F142" s="301" t="n"/>
      <c r="G142" s="301" t="n"/>
      <c r="H142" s="301" t="n"/>
      <c r="I142" s="301" t="n"/>
      <c r="J142" s="301" t="n"/>
      <c r="K142" s="301" t="n"/>
      <c r="L142" s="301" t="n"/>
    </row>
    <row r="143" ht="15" customHeight="1" s="221">
      <c r="A143" s="301" t="n"/>
      <c r="B143" s="301" t="n"/>
      <c r="C143" s="301" t="n"/>
      <c r="D143" s="301" t="n"/>
      <c r="E143" s="301" t="n"/>
      <c r="F143" s="301" t="n"/>
      <c r="G143" s="301" t="n"/>
      <c r="H143" s="301" t="n"/>
      <c r="I143" s="301" t="n"/>
      <c r="J143" s="301" t="n"/>
      <c r="K143" s="301" t="n"/>
      <c r="L143" s="301" t="n"/>
    </row>
    <row r="144" ht="15" customHeight="1" s="221">
      <c r="A144" s="301" t="n"/>
      <c r="B144" s="301" t="n"/>
      <c r="C144" s="301" t="n"/>
      <c r="D144" s="301" t="n"/>
      <c r="E144" s="301" t="n"/>
      <c r="F144" s="301" t="n"/>
      <c r="G144" s="301" t="n"/>
      <c r="H144" s="301" t="n"/>
      <c r="I144" s="301" t="n"/>
      <c r="J144" s="301" t="n"/>
      <c r="K144" s="301" t="n"/>
      <c r="L144" s="301" t="n"/>
    </row>
    <row r="145" ht="15" customHeight="1" s="221">
      <c r="A145" s="301" t="n"/>
      <c r="B145" s="301" t="n"/>
      <c r="C145" s="301" t="n"/>
      <c r="D145" s="301" t="n"/>
      <c r="E145" s="301" t="n"/>
      <c r="F145" s="301" t="n"/>
      <c r="G145" s="301" t="n"/>
      <c r="H145" s="301" t="n"/>
      <c r="I145" s="301" t="n"/>
      <c r="J145" s="301" t="n"/>
      <c r="K145" s="301" t="n"/>
      <c r="L145" s="301" t="n"/>
    </row>
    <row r="146" ht="15" customHeight="1" s="221">
      <c r="A146" s="301" t="n"/>
      <c r="B146" s="301" t="n"/>
      <c r="C146" s="301" t="n"/>
      <c r="D146" s="301" t="n"/>
      <c r="E146" s="301" t="n"/>
      <c r="F146" s="301" t="n"/>
      <c r="G146" s="301" t="n"/>
      <c r="H146" s="301" t="n"/>
      <c r="I146" s="301" t="n"/>
      <c r="J146" s="301" t="n"/>
      <c r="K146" s="301" t="n"/>
      <c r="L146" s="301" t="n"/>
    </row>
    <row r="147" ht="15" customHeight="1" s="221">
      <c r="A147" s="301" t="n"/>
      <c r="B147" s="301" t="n"/>
      <c r="C147" s="301" t="n"/>
      <c r="D147" s="301" t="n"/>
      <c r="E147" s="301" t="n"/>
      <c r="F147" s="301" t="n"/>
      <c r="G147" s="301" t="n"/>
      <c r="H147" s="301" t="n"/>
      <c r="I147" s="301" t="n"/>
      <c r="J147" s="301" t="n"/>
      <c r="K147" s="301" t="n"/>
      <c r="L147" s="301" t="n"/>
    </row>
    <row r="148" ht="15" customHeight="1" s="221">
      <c r="A148" s="301" t="n"/>
      <c r="B148" s="301" t="n"/>
      <c r="C148" s="301" t="n"/>
      <c r="D148" s="301" t="n"/>
      <c r="E148" s="301" t="n"/>
      <c r="F148" s="301" t="n"/>
      <c r="G148" s="301" t="n"/>
      <c r="H148" s="301" t="n"/>
      <c r="I148" s="301" t="n"/>
      <c r="J148" s="301" t="n"/>
      <c r="K148" s="301" t="n"/>
      <c r="L148" s="301" t="n"/>
    </row>
    <row r="149" ht="15" customHeight="1" s="221">
      <c r="A149" s="301" t="n"/>
      <c r="B149" s="301" t="n"/>
      <c r="C149" s="301" t="n"/>
      <c r="D149" s="301" t="n"/>
      <c r="E149" s="301" t="n"/>
      <c r="F149" s="301" t="n"/>
      <c r="G149" s="301" t="n"/>
      <c r="H149" s="301" t="n"/>
      <c r="I149" s="301" t="n"/>
      <c r="J149" s="301" t="n"/>
      <c r="K149" s="301" t="n"/>
      <c r="L149" s="301" t="n"/>
    </row>
    <row r="150" ht="15" customHeight="1" s="221">
      <c r="A150" s="301" t="n"/>
      <c r="B150" s="301" t="n"/>
      <c r="C150" s="301" t="n"/>
      <c r="D150" s="301" t="n"/>
      <c r="E150" s="301" t="n"/>
      <c r="F150" s="301" t="n"/>
      <c r="G150" s="301" t="n"/>
      <c r="H150" s="301" t="n"/>
      <c r="I150" s="301" t="n"/>
      <c r="J150" s="301" t="n"/>
      <c r="K150" s="301" t="n"/>
      <c r="L150" s="301" t="n"/>
    </row>
  </sheetData>
  <mergeCells count="35">
    <mergeCell ref="G10:I10"/>
    <mergeCell ref="A8:D8"/>
    <mergeCell ref="A73:B73"/>
    <mergeCell ref="A62:D62"/>
    <mergeCell ref="G47:J47"/>
    <mergeCell ref="G54:J54"/>
    <mergeCell ref="A28:D28"/>
    <mergeCell ref="A26:C26"/>
    <mergeCell ref="G40:J40"/>
    <mergeCell ref="J77:K77"/>
    <mergeCell ref="A30:D30"/>
    <mergeCell ref="A51:D51"/>
    <mergeCell ref="A20:C20"/>
    <mergeCell ref="A3:B3"/>
    <mergeCell ref="G3:H3"/>
    <mergeCell ref="G67:J67"/>
    <mergeCell ref="A1:J1"/>
    <mergeCell ref="G8:J8"/>
    <mergeCell ref="G9:I9"/>
    <mergeCell ref="G65:H65"/>
    <mergeCell ref="D4:E4"/>
    <mergeCell ref="A41:D41"/>
    <mergeCell ref="G12:I12"/>
    <mergeCell ref="A17:B17"/>
    <mergeCell ref="D3:E3"/>
    <mergeCell ref="G64:H64"/>
    <mergeCell ref="G28:J28"/>
    <mergeCell ref="A4:B4"/>
    <mergeCell ref="G4:H4"/>
    <mergeCell ref="A72:B72"/>
    <mergeCell ref="A6:C6"/>
    <mergeCell ref="G34:J34"/>
    <mergeCell ref="G30:J30"/>
    <mergeCell ref="A9:B9"/>
    <mergeCell ref="G45:J45"/>
  </mergeCells>
  <conditionalFormatting sqref="B33:B200">
    <cfRule type="expression" rank="0" priority="2" equalAverage="0" aboveAverage="0" dxfId="0" text="" percent="0" bottom="0">
      <formula>$B33="Pagado"</formula>
    </cfRule>
    <cfRule type="expression" rank="0" priority="3" equalAverage="0" aboveAverage="0" dxfId="1" text="" percent="0" bottom="0">
      <formula>$B33="Pendiente"</formula>
    </cfRule>
    <cfRule type="expression" rank="0" priority="4" equalAverage="0" aboveAverage="0" dxfId="2" text="" percent="0" bottom="0">
      <formula>$B33="Cancelado"</formula>
    </cfRule>
  </conditionalFormatting>
  <dataValidations count="2">
    <dataValidation sqref="B33:B200" showDropDown="0" showInputMessage="0" showErrorMessage="0" allowBlank="1" type="list" errorStyle="stop" operator="between">
      <formula1>"Ninguno,Pendiente,Pagado,Cancelado"</formula1>
      <formula2>0</formula2>
    </dataValidation>
    <dataValidation sqref="H31:H62" showDropDown="0" showInputMessage="0" showErrorMessage="0" allowBlank="1" errorTitle="Estado inválido" error="Selecciona un estado válido" type="list">
      <formula1>"Ninguno,Pendiente,Pagado,Cancelado"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tabColor rgb="FF7F8C8D"/>
    <outlinePr summaryBelow="1" summaryRight="1"/>
    <pageSetUpPr fitToPage="0"/>
  </sheetPr>
  <dimension ref="A1:J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2" customWidth="1" style="220" min="1" max="2"/>
    <col width="18" customWidth="1" style="220" min="3" max="3"/>
    <col width="28" customWidth="1" style="220" min="4" max="4"/>
    <col width="14" customWidth="1" style="220" min="5" max="6"/>
    <col width="18" customWidth="1" style="220" min="7" max="8"/>
  </cols>
  <sheetData>
    <row r="1" ht="18" customHeight="1" s="221">
      <c r="A1" s="310" t="inlineStr">
        <is>
          <t>📋 REGISTRO DE MOVIMIENTOS - NOVIEMBRE 2026</t>
        </is>
      </c>
      <c r="I1" s="301" t="n"/>
      <c r="J1" s="301" t="n"/>
    </row>
    <row r="2" ht="15" customHeight="1" s="221">
      <c r="A2" s="301" t="n"/>
      <c r="B2" s="301" t="n"/>
      <c r="C2" s="301" t="n"/>
      <c r="D2" s="301" t="n"/>
      <c r="E2" s="301" t="n"/>
      <c r="F2" s="301" t="n"/>
      <c r="G2" s="301" t="n"/>
      <c r="H2" s="301" t="n"/>
      <c r="I2" s="301" t="n"/>
      <c r="J2" s="301" t="n"/>
    </row>
    <row r="3" ht="15" customHeight="1" s="221">
      <c r="A3" s="311" t="inlineStr">
        <is>
          <t>Fecha</t>
        </is>
      </c>
      <c r="B3" s="312" t="inlineStr">
        <is>
          <t>Tipo</t>
        </is>
      </c>
      <c r="C3" s="312" t="inlineStr">
        <is>
          <t>Categoría</t>
        </is>
      </c>
      <c r="D3" s="311" t="inlineStr">
        <is>
          <t>Descripción</t>
        </is>
      </c>
      <c r="E3" s="311" t="inlineStr">
        <is>
          <t>Ingreso</t>
        </is>
      </c>
      <c r="F3" s="311" t="inlineStr">
        <is>
          <t>Egreso</t>
        </is>
      </c>
      <c r="G3" s="311" t="inlineStr">
        <is>
          <t>Cuenta</t>
        </is>
      </c>
      <c r="H3" s="311" t="inlineStr">
        <is>
          <t>Notas</t>
        </is>
      </c>
      <c r="I3" s="301" t="n"/>
      <c r="J3" s="301" t="n"/>
    </row>
    <row r="4" ht="15" customHeight="1" s="221">
      <c r="A4" s="313" t="n"/>
      <c r="B4" s="314" t="n"/>
      <c r="C4" s="315" t="n"/>
      <c r="D4" s="316" t="n"/>
      <c r="E4" s="317" t="n"/>
      <c r="F4" s="317" t="n"/>
      <c r="G4" s="318" t="n"/>
      <c r="H4" s="316" t="n"/>
      <c r="I4" s="301" t="n"/>
      <c r="J4" s="301" t="n"/>
    </row>
    <row r="5" ht="15" customHeight="1" s="221">
      <c r="A5" s="319" t="n"/>
      <c r="B5" s="320" t="n"/>
      <c r="C5" s="321" t="n"/>
      <c r="D5" s="322" t="n"/>
      <c r="E5" s="323" t="n"/>
      <c r="F5" s="323" t="n"/>
      <c r="G5" s="324" t="n"/>
      <c r="H5" s="322" t="n"/>
      <c r="I5" s="301" t="n"/>
      <c r="J5" s="301" t="n"/>
    </row>
    <row r="6" ht="15" customHeight="1" s="221">
      <c r="A6" s="313" t="n"/>
      <c r="B6" s="314" t="n"/>
      <c r="C6" s="315" t="n"/>
      <c r="D6" s="316" t="n"/>
      <c r="E6" s="317" t="n"/>
      <c r="F6" s="317" t="n"/>
      <c r="G6" s="318" t="n"/>
      <c r="H6" s="316" t="n"/>
      <c r="I6" s="301" t="n"/>
      <c r="J6" s="301" t="n"/>
    </row>
    <row r="7" ht="15" customHeight="1" s="221">
      <c r="A7" s="319" t="n"/>
      <c r="B7" s="320" t="n"/>
      <c r="C7" s="321" t="n"/>
      <c r="D7" s="322" t="n"/>
      <c r="E7" s="323" t="n"/>
      <c r="F7" s="323" t="n"/>
      <c r="G7" s="324" t="n"/>
      <c r="H7" s="322" t="n"/>
      <c r="I7" s="301" t="n"/>
      <c r="J7" s="301" t="n"/>
    </row>
    <row r="8" ht="15" customHeight="1" s="221">
      <c r="A8" s="313" t="n"/>
      <c r="B8" s="314" t="n"/>
      <c r="C8" s="315" t="n"/>
      <c r="D8" s="316" t="n"/>
      <c r="E8" s="317" t="n"/>
      <c r="F8" s="317" t="n"/>
      <c r="G8" s="318" t="n"/>
      <c r="H8" s="316" t="n"/>
      <c r="I8" s="301" t="n"/>
      <c r="J8" s="301" t="n"/>
    </row>
    <row r="9" ht="15" customHeight="1" s="221">
      <c r="A9" s="319" t="n"/>
      <c r="B9" s="320" t="n"/>
      <c r="C9" s="321" t="n"/>
      <c r="D9" s="322" t="n"/>
      <c r="E9" s="323" t="n"/>
      <c r="F9" s="323" t="n"/>
      <c r="G9" s="324" t="n"/>
      <c r="H9" s="322" t="n"/>
      <c r="I9" s="301" t="n"/>
      <c r="J9" s="301" t="n"/>
    </row>
    <row r="10" ht="15" customHeight="1" s="221">
      <c r="A10" s="313" t="n"/>
      <c r="B10" s="314" t="n"/>
      <c r="C10" s="315" t="n"/>
      <c r="D10" s="316" t="n"/>
      <c r="E10" s="317" t="n"/>
      <c r="F10" s="317" t="n"/>
      <c r="G10" s="318" t="n"/>
      <c r="H10" s="316" t="n"/>
      <c r="I10" s="301" t="n"/>
      <c r="J10" s="301" t="n"/>
    </row>
    <row r="11" ht="15" customHeight="1" s="221">
      <c r="A11" s="319" t="n"/>
      <c r="B11" s="320" t="n"/>
      <c r="C11" s="321" t="n"/>
      <c r="D11" s="322" t="n"/>
      <c r="E11" s="323" t="n"/>
      <c r="F11" s="323" t="n"/>
      <c r="G11" s="324" t="n"/>
      <c r="H11" s="322" t="n"/>
      <c r="I11" s="301" t="n"/>
      <c r="J11" s="301" t="n"/>
    </row>
    <row r="12" ht="15" customHeight="1" s="221">
      <c r="A12" s="313" t="n"/>
      <c r="B12" s="314" t="n"/>
      <c r="C12" s="315" t="n"/>
      <c r="D12" s="316" t="n"/>
      <c r="E12" s="317" t="n"/>
      <c r="F12" s="317" t="n"/>
      <c r="G12" s="318" t="n"/>
      <c r="H12" s="316" t="n"/>
      <c r="I12" s="301" t="n"/>
      <c r="J12" s="301" t="n"/>
    </row>
    <row r="13" ht="15" customHeight="1" s="221">
      <c r="A13" s="319" t="n"/>
      <c r="B13" s="320" t="n"/>
      <c r="C13" s="321" t="n"/>
      <c r="D13" s="322" t="n"/>
      <c r="E13" s="323" t="n"/>
      <c r="F13" s="323" t="n"/>
      <c r="G13" s="324" t="n"/>
      <c r="H13" s="322" t="n"/>
      <c r="I13" s="301" t="n"/>
      <c r="J13" s="301" t="n"/>
    </row>
    <row r="14" ht="15" customHeight="1" s="221">
      <c r="A14" s="313" t="n"/>
      <c r="B14" s="314" t="n"/>
      <c r="C14" s="315" t="n"/>
      <c r="D14" s="316" t="n"/>
      <c r="E14" s="317" t="n"/>
      <c r="F14" s="317" t="n"/>
      <c r="G14" s="318" t="n"/>
      <c r="H14" s="316" t="n"/>
      <c r="I14" s="301" t="n"/>
      <c r="J14" s="301" t="n"/>
    </row>
    <row r="15" ht="15" customHeight="1" s="221">
      <c r="A15" s="319" t="n"/>
      <c r="B15" s="320" t="n"/>
      <c r="C15" s="321" t="n"/>
      <c r="D15" s="322" t="n"/>
      <c r="E15" s="323" t="n"/>
      <c r="F15" s="323" t="n"/>
      <c r="G15" s="324" t="n"/>
      <c r="H15" s="322" t="n"/>
      <c r="I15" s="301" t="n"/>
      <c r="J15" s="301" t="n"/>
    </row>
    <row r="16" ht="15" customHeight="1" s="221">
      <c r="A16" s="313" t="n"/>
      <c r="B16" s="314" t="n"/>
      <c r="C16" s="315" t="n"/>
      <c r="D16" s="316" t="n"/>
      <c r="E16" s="317" t="n"/>
      <c r="F16" s="317" t="n"/>
      <c r="G16" s="318" t="n"/>
      <c r="H16" s="316" t="n"/>
      <c r="I16" s="301" t="n"/>
      <c r="J16" s="301" t="n"/>
    </row>
    <row r="17" ht="15" customHeight="1" s="221">
      <c r="A17" s="319" t="n"/>
      <c r="B17" s="320" t="n"/>
      <c r="C17" s="321" t="n"/>
      <c r="D17" s="322" t="n"/>
      <c r="E17" s="323" t="n"/>
      <c r="F17" s="323" t="n"/>
      <c r="G17" s="324" t="n"/>
      <c r="H17" s="322" t="n"/>
      <c r="I17" s="301" t="n"/>
      <c r="J17" s="301" t="n"/>
    </row>
    <row r="18" ht="15" customHeight="1" s="221">
      <c r="A18" s="313" t="n"/>
      <c r="B18" s="314" t="n"/>
      <c r="C18" s="315" t="n"/>
      <c r="D18" s="316" t="n"/>
      <c r="E18" s="317" t="n"/>
      <c r="F18" s="317" t="n"/>
      <c r="G18" s="318" t="n"/>
      <c r="H18" s="316" t="n"/>
      <c r="I18" s="301" t="n"/>
      <c r="J18" s="301" t="n"/>
    </row>
    <row r="19" ht="15" customHeight="1" s="221">
      <c r="A19" s="319" t="n"/>
      <c r="B19" s="320" t="n"/>
      <c r="C19" s="321" t="n"/>
      <c r="D19" s="322" t="n"/>
      <c r="E19" s="323" t="n"/>
      <c r="F19" s="323" t="n"/>
      <c r="G19" s="324" t="n"/>
      <c r="H19" s="322" t="n"/>
      <c r="I19" s="301" t="n"/>
      <c r="J19" s="301" t="n"/>
    </row>
    <row r="20" ht="15" customHeight="1" s="221">
      <c r="A20" s="313" t="n"/>
      <c r="B20" s="314" t="n"/>
      <c r="C20" s="315" t="n"/>
      <c r="D20" s="316" t="n"/>
      <c r="E20" s="317" t="n"/>
      <c r="F20" s="317" t="n"/>
      <c r="G20" s="318" t="n"/>
      <c r="H20" s="316" t="n"/>
      <c r="I20" s="301" t="n"/>
      <c r="J20" s="301" t="n"/>
    </row>
    <row r="21" ht="15" customHeight="1" s="221">
      <c r="A21" s="319" t="n"/>
      <c r="B21" s="320" t="n"/>
      <c r="C21" s="321" t="n"/>
      <c r="D21" s="322" t="n"/>
      <c r="E21" s="323" t="n"/>
      <c r="F21" s="323" t="n"/>
      <c r="G21" s="324" t="n"/>
      <c r="H21" s="322" t="n"/>
      <c r="I21" s="301" t="n"/>
      <c r="J21" s="301" t="n"/>
    </row>
    <row r="22" ht="15" customHeight="1" s="221">
      <c r="A22" s="313" t="n"/>
      <c r="B22" s="314" t="n"/>
      <c r="C22" s="315" t="n"/>
      <c r="D22" s="316" t="n"/>
      <c r="E22" s="317" t="n"/>
      <c r="F22" s="317" t="n"/>
      <c r="G22" s="318" t="n"/>
      <c r="H22" s="316" t="n"/>
      <c r="I22" s="301" t="n"/>
      <c r="J22" s="301" t="n"/>
    </row>
    <row r="23" ht="15" customHeight="1" s="221">
      <c r="A23" s="319" t="n"/>
      <c r="B23" s="320" t="n"/>
      <c r="C23" s="321" t="n"/>
      <c r="D23" s="322" t="n"/>
      <c r="E23" s="323" t="n"/>
      <c r="F23" s="323" t="n"/>
      <c r="G23" s="324" t="n"/>
      <c r="H23" s="322" t="n"/>
      <c r="I23" s="301" t="n"/>
      <c r="J23" s="301" t="n"/>
    </row>
    <row r="24" ht="15" customHeight="1" s="221">
      <c r="A24" s="313" t="n"/>
      <c r="B24" s="318" t="n"/>
      <c r="C24" s="315" t="n"/>
      <c r="D24" s="316" t="n"/>
      <c r="E24" s="317" t="n"/>
      <c r="F24" s="317" t="n"/>
      <c r="G24" s="318" t="n"/>
      <c r="H24" s="316" t="n"/>
      <c r="I24" s="301" t="n"/>
      <c r="J24" s="301" t="n"/>
    </row>
    <row r="25" ht="15" customHeight="1" s="221">
      <c r="A25" s="319" t="n"/>
      <c r="B25" s="324" t="n"/>
      <c r="C25" s="321" t="n"/>
      <c r="D25" s="322" t="n"/>
      <c r="E25" s="323" t="n"/>
      <c r="F25" s="323" t="n"/>
      <c r="G25" s="324" t="n"/>
      <c r="H25" s="322" t="n"/>
      <c r="I25" s="301" t="n"/>
      <c r="J25" s="301" t="n"/>
    </row>
    <row r="26" ht="15" customHeight="1" s="221">
      <c r="A26" s="313" t="n"/>
      <c r="B26" s="318" t="n"/>
      <c r="C26" s="315" t="n"/>
      <c r="D26" s="316" t="n"/>
      <c r="E26" s="317" t="n"/>
      <c r="F26" s="317" t="n"/>
      <c r="G26" s="318" t="n"/>
      <c r="H26" s="316" t="n"/>
      <c r="I26" s="301" t="n"/>
      <c r="J26" s="301" t="n"/>
    </row>
    <row r="27" ht="15" customHeight="1" s="221">
      <c r="A27" s="319" t="n"/>
      <c r="B27" s="324" t="n"/>
      <c r="C27" s="321" t="n"/>
      <c r="D27" s="322" t="n"/>
      <c r="E27" s="323" t="n"/>
      <c r="F27" s="323" t="n"/>
      <c r="G27" s="324" t="n"/>
      <c r="H27" s="322" t="n"/>
      <c r="I27" s="301" t="n"/>
      <c r="J27" s="301" t="n"/>
    </row>
    <row r="28" ht="15" customHeight="1" s="221">
      <c r="A28" s="313" t="n"/>
      <c r="B28" s="318" t="n"/>
      <c r="C28" s="315" t="n"/>
      <c r="D28" s="316" t="n"/>
      <c r="E28" s="317" t="n"/>
      <c r="F28" s="317" t="n"/>
      <c r="G28" s="318" t="n"/>
      <c r="H28" s="316" t="n"/>
      <c r="I28" s="301" t="n"/>
      <c r="J28" s="301" t="n"/>
    </row>
    <row r="29" ht="15" customHeight="1" s="221">
      <c r="A29" s="319" t="n"/>
      <c r="B29" s="324" t="n"/>
      <c r="C29" s="321" t="n"/>
      <c r="D29" s="322" t="n"/>
      <c r="E29" s="323" t="n"/>
      <c r="F29" s="323" t="n"/>
      <c r="G29" s="324" t="n"/>
      <c r="H29" s="322" t="n"/>
      <c r="I29" s="301" t="n"/>
      <c r="J29" s="301" t="n"/>
    </row>
    <row r="30" ht="15" customHeight="1" s="221">
      <c r="A30" s="313" t="n"/>
      <c r="B30" s="318" t="n"/>
      <c r="C30" s="315" t="n"/>
      <c r="D30" s="316" t="n"/>
      <c r="E30" s="317" t="n"/>
      <c r="F30" s="317" t="n"/>
      <c r="G30" s="318" t="n"/>
      <c r="H30" s="316" t="n"/>
      <c r="I30" s="301" t="n"/>
      <c r="J30" s="301" t="n"/>
    </row>
    <row r="31" ht="15" customHeight="1" s="221">
      <c r="A31" s="319" t="n"/>
      <c r="B31" s="324" t="n"/>
      <c r="C31" s="321" t="n"/>
      <c r="D31" s="322" t="n"/>
      <c r="E31" s="323" t="n"/>
      <c r="F31" s="323" t="n"/>
      <c r="G31" s="324" t="n"/>
      <c r="H31" s="322" t="n"/>
      <c r="I31" s="301" t="n"/>
      <c r="J31" s="301" t="n"/>
    </row>
    <row r="32" ht="15" customHeight="1" s="221">
      <c r="A32" s="313" t="n"/>
      <c r="B32" s="318" t="n"/>
      <c r="C32" s="315" t="n"/>
      <c r="D32" s="316" t="n"/>
      <c r="E32" s="317" t="n"/>
      <c r="F32" s="317" t="n"/>
      <c r="G32" s="318" t="n"/>
      <c r="H32" s="316" t="n"/>
      <c r="I32" s="301" t="n"/>
      <c r="J32" s="301" t="n"/>
    </row>
    <row r="33" ht="15" customHeight="1" s="221">
      <c r="A33" s="319" t="n"/>
      <c r="B33" s="324" t="n"/>
      <c r="C33" s="321" t="n"/>
      <c r="D33" s="322" t="n"/>
      <c r="E33" s="323" t="n"/>
      <c r="F33" s="323" t="n"/>
      <c r="G33" s="324" t="n"/>
      <c r="H33" s="322" t="n"/>
      <c r="I33" s="301" t="n"/>
      <c r="J33" s="301" t="n"/>
    </row>
    <row r="34" ht="15" customHeight="1" s="221">
      <c r="A34" s="313" t="n"/>
      <c r="B34" s="318" t="n"/>
      <c r="C34" s="315" t="n"/>
      <c r="D34" s="316" t="n"/>
      <c r="E34" s="317" t="n"/>
      <c r="F34" s="317" t="n"/>
      <c r="G34" s="318" t="n"/>
      <c r="H34" s="316" t="n"/>
      <c r="I34" s="301" t="n"/>
      <c r="J34" s="301" t="n"/>
    </row>
    <row r="35" ht="15" customHeight="1" s="221">
      <c r="A35" s="319" t="n"/>
      <c r="B35" s="324" t="n"/>
      <c r="C35" s="322" t="n"/>
      <c r="D35" s="322" t="n"/>
      <c r="E35" s="323" t="n"/>
      <c r="F35" s="323" t="n"/>
      <c r="G35" s="324" t="n"/>
      <c r="H35" s="322" t="n"/>
      <c r="I35" s="301" t="n"/>
      <c r="J35" s="301" t="n"/>
    </row>
    <row r="36" ht="15" customHeight="1" s="221">
      <c r="A36" s="313" t="n"/>
      <c r="B36" s="318" t="n"/>
      <c r="C36" s="316" t="n"/>
      <c r="D36" s="316" t="n"/>
      <c r="E36" s="317" t="n"/>
      <c r="F36" s="317" t="n"/>
      <c r="G36" s="318" t="n"/>
      <c r="H36" s="316" t="n"/>
      <c r="I36" s="301" t="n"/>
      <c r="J36" s="301" t="n"/>
    </row>
    <row r="37" ht="15" customHeight="1" s="221">
      <c r="A37" s="319" t="n"/>
      <c r="B37" s="324" t="n"/>
      <c r="C37" s="322" t="n"/>
      <c r="D37" s="322" t="n"/>
      <c r="E37" s="323" t="n"/>
      <c r="F37" s="323" t="n"/>
      <c r="G37" s="324" t="n"/>
      <c r="H37" s="322" t="n"/>
      <c r="I37" s="301" t="n"/>
      <c r="J37" s="301" t="n"/>
    </row>
    <row r="38" ht="15" customHeight="1" s="221">
      <c r="A38" s="313" t="n"/>
      <c r="B38" s="318" t="n"/>
      <c r="C38" s="316" t="n"/>
      <c r="D38" s="316" t="n"/>
      <c r="E38" s="317" t="n"/>
      <c r="F38" s="317" t="n"/>
      <c r="G38" s="318" t="n"/>
      <c r="H38" s="316" t="n"/>
      <c r="I38" s="301" t="n"/>
      <c r="J38" s="301" t="n"/>
    </row>
    <row r="39" ht="15" customHeight="1" s="221">
      <c r="A39" s="319" t="n"/>
      <c r="B39" s="324" t="n"/>
      <c r="C39" s="322" t="n"/>
      <c r="D39" s="322" t="n"/>
      <c r="E39" s="323" t="n"/>
      <c r="F39" s="323" t="n"/>
      <c r="G39" s="324" t="n"/>
      <c r="H39" s="322" t="n"/>
      <c r="I39" s="301" t="n"/>
      <c r="J39" s="301" t="n"/>
    </row>
    <row r="40" ht="15" customHeight="1" s="221">
      <c r="A40" s="313" t="n"/>
      <c r="B40" s="318" t="n"/>
      <c r="C40" s="316" t="n"/>
      <c r="D40" s="316" t="n"/>
      <c r="E40" s="317" t="n"/>
      <c r="F40" s="317" t="n"/>
      <c r="G40" s="318" t="n"/>
      <c r="H40" s="316" t="n"/>
      <c r="I40" s="301" t="n"/>
      <c r="J40" s="301" t="n"/>
    </row>
    <row r="41" ht="15" customHeight="1" s="221">
      <c r="A41" s="319" t="n"/>
      <c r="B41" s="324" t="n"/>
      <c r="C41" s="322" t="n"/>
      <c r="D41" s="322" t="n"/>
      <c r="E41" s="323" t="n"/>
      <c r="F41" s="323" t="n"/>
      <c r="G41" s="324" t="n"/>
      <c r="H41" s="322" t="n"/>
      <c r="I41" s="301" t="n"/>
      <c r="J41" s="301" t="n"/>
    </row>
    <row r="42" ht="15" customHeight="1" s="221">
      <c r="A42" s="313" t="n"/>
      <c r="B42" s="318" t="n"/>
      <c r="C42" s="316" t="n"/>
      <c r="D42" s="316" t="n"/>
      <c r="E42" s="317" t="n"/>
      <c r="F42" s="317" t="n"/>
      <c r="G42" s="318" t="n"/>
      <c r="H42" s="316" t="n"/>
      <c r="I42" s="301" t="n"/>
      <c r="J42" s="301" t="n"/>
    </row>
    <row r="43" ht="15" customHeight="1" s="221">
      <c r="A43" s="319" t="n"/>
      <c r="B43" s="324" t="n"/>
      <c r="C43" s="322" t="n"/>
      <c r="D43" s="322" t="n"/>
      <c r="E43" s="323" t="n"/>
      <c r="F43" s="323" t="n"/>
      <c r="G43" s="324" t="n"/>
      <c r="H43" s="322" t="n"/>
      <c r="I43" s="301" t="n"/>
      <c r="J43" s="301" t="n"/>
    </row>
    <row r="44" ht="15" customHeight="1" s="221">
      <c r="A44" s="313" t="n"/>
      <c r="B44" s="318" t="n"/>
      <c r="C44" s="316" t="n"/>
      <c r="D44" s="316" t="n"/>
      <c r="E44" s="317" t="n"/>
      <c r="F44" s="317" t="n"/>
      <c r="G44" s="318" t="n"/>
      <c r="H44" s="316" t="n"/>
      <c r="I44" s="301" t="n"/>
      <c r="J44" s="301" t="n"/>
    </row>
    <row r="45" ht="15" customHeight="1" s="221">
      <c r="A45" s="319" t="n"/>
      <c r="B45" s="324" t="n"/>
      <c r="C45" s="322" t="n"/>
      <c r="D45" s="322" t="n"/>
      <c r="E45" s="323" t="n"/>
      <c r="F45" s="323" t="n"/>
      <c r="G45" s="324" t="n"/>
      <c r="H45" s="322" t="n"/>
      <c r="I45" s="301" t="n"/>
      <c r="J45" s="301" t="n"/>
    </row>
    <row r="46" ht="15" customHeight="1" s="221">
      <c r="A46" s="313" t="n"/>
      <c r="B46" s="318" t="n"/>
      <c r="C46" s="316" t="n"/>
      <c r="D46" s="316" t="n"/>
      <c r="E46" s="317" t="n"/>
      <c r="F46" s="317" t="n"/>
      <c r="G46" s="318" t="n"/>
      <c r="H46" s="316" t="n"/>
      <c r="I46" s="301" t="n"/>
      <c r="J46" s="301" t="n"/>
    </row>
    <row r="47" ht="15" customHeight="1" s="221">
      <c r="A47" s="319" t="n"/>
      <c r="B47" s="324" t="n"/>
      <c r="C47" s="322" t="n"/>
      <c r="D47" s="322" t="n"/>
      <c r="E47" s="323" t="n"/>
      <c r="F47" s="323" t="n"/>
      <c r="G47" s="324" t="n"/>
      <c r="H47" s="322" t="n"/>
      <c r="I47" s="301" t="n"/>
      <c r="J47" s="301" t="n"/>
    </row>
    <row r="48" ht="15" customHeight="1" s="221">
      <c r="A48" s="313" t="n"/>
      <c r="B48" s="318" t="n"/>
      <c r="C48" s="316" t="n"/>
      <c r="D48" s="316" t="n"/>
      <c r="E48" s="317" t="n"/>
      <c r="F48" s="317" t="n"/>
      <c r="G48" s="318" t="n"/>
      <c r="H48" s="316" t="n"/>
      <c r="I48" s="301" t="n"/>
      <c r="J48" s="301" t="n"/>
    </row>
    <row r="49" ht="15" customHeight="1" s="221">
      <c r="A49" s="319" t="n"/>
      <c r="B49" s="324" t="n"/>
      <c r="C49" s="322" t="n"/>
      <c r="D49" s="322" t="n"/>
      <c r="E49" s="323" t="n"/>
      <c r="F49" s="323" t="n"/>
      <c r="G49" s="324" t="n"/>
      <c r="H49" s="322" t="n"/>
      <c r="I49" s="301" t="n"/>
      <c r="J49" s="301" t="n"/>
    </row>
    <row r="50" ht="15" customHeight="1" s="221">
      <c r="A50" s="313" t="n"/>
      <c r="B50" s="318" t="n"/>
      <c r="C50" s="316" t="n"/>
      <c r="D50" s="316" t="n"/>
      <c r="E50" s="317" t="n"/>
      <c r="F50" s="317" t="n"/>
      <c r="G50" s="318" t="n"/>
      <c r="H50" s="316" t="n"/>
      <c r="I50" s="301" t="n"/>
      <c r="J50" s="301" t="n"/>
    </row>
    <row r="51" ht="15" customHeight="1" s="221">
      <c r="A51" s="319" t="n"/>
      <c r="B51" s="324" t="n"/>
      <c r="C51" s="322" t="n"/>
      <c r="D51" s="322" t="n"/>
      <c r="E51" s="323" t="n"/>
      <c r="F51" s="323" t="n"/>
      <c r="G51" s="324" t="n"/>
      <c r="H51" s="322" t="n"/>
      <c r="I51" s="301" t="n"/>
      <c r="J51" s="301" t="n"/>
    </row>
    <row r="52" ht="15" customHeight="1" s="221">
      <c r="A52" s="313" t="n"/>
      <c r="B52" s="318" t="n"/>
      <c r="C52" s="316" t="n"/>
      <c r="D52" s="316" t="n"/>
      <c r="E52" s="317" t="n"/>
      <c r="F52" s="317" t="n"/>
      <c r="G52" s="318" t="n"/>
      <c r="H52" s="316" t="n"/>
      <c r="I52" s="301" t="n"/>
      <c r="J52" s="301" t="n"/>
    </row>
    <row r="53" ht="15" customHeight="1" s="221">
      <c r="A53" s="319" t="n"/>
      <c r="B53" s="324" t="n"/>
      <c r="C53" s="322" t="n"/>
      <c r="D53" s="322" t="n"/>
      <c r="E53" s="323" t="n"/>
      <c r="F53" s="323" t="n"/>
      <c r="G53" s="324" t="n"/>
      <c r="H53" s="322" t="n"/>
      <c r="I53" s="301" t="n"/>
      <c r="J53" s="301" t="n"/>
    </row>
    <row r="54" ht="15" customHeight="1" s="221">
      <c r="A54" s="313" t="n"/>
      <c r="B54" s="318" t="n"/>
      <c r="C54" s="316" t="n"/>
      <c r="D54" s="316" t="n"/>
      <c r="E54" s="317" t="n"/>
      <c r="F54" s="317" t="n"/>
      <c r="G54" s="318" t="n"/>
      <c r="H54" s="316" t="n"/>
      <c r="I54" s="301" t="n"/>
      <c r="J54" s="301" t="n"/>
    </row>
    <row r="55" ht="15" customHeight="1" s="221">
      <c r="A55" s="319" t="n"/>
      <c r="B55" s="324" t="n"/>
      <c r="C55" s="322" t="n"/>
      <c r="D55" s="322" t="n"/>
      <c r="E55" s="323" t="n"/>
      <c r="F55" s="323" t="n"/>
      <c r="G55" s="324" t="n"/>
      <c r="H55" s="322" t="n"/>
      <c r="I55" s="301" t="n"/>
      <c r="J55" s="301" t="n"/>
    </row>
    <row r="56" ht="15" customHeight="1" s="221">
      <c r="A56" s="313" t="n"/>
      <c r="B56" s="318" t="n"/>
      <c r="C56" s="316" t="n"/>
      <c r="D56" s="316" t="n"/>
      <c r="E56" s="317" t="n"/>
      <c r="F56" s="317" t="n"/>
      <c r="G56" s="318" t="n"/>
      <c r="H56" s="316" t="n"/>
      <c r="I56" s="301" t="n"/>
      <c r="J56" s="301" t="n"/>
    </row>
    <row r="57" ht="15" customHeight="1" s="221">
      <c r="A57" s="319" t="n"/>
      <c r="B57" s="324" t="n"/>
      <c r="C57" s="322" t="n"/>
      <c r="D57" s="322" t="n"/>
      <c r="E57" s="323" t="n"/>
      <c r="F57" s="323" t="n"/>
      <c r="G57" s="324" t="n"/>
      <c r="H57" s="322" t="n"/>
      <c r="I57" s="301" t="n"/>
      <c r="J57" s="301" t="n"/>
    </row>
    <row r="58" ht="15" customHeight="1" s="221">
      <c r="A58" s="313" t="n"/>
      <c r="B58" s="318" t="n"/>
      <c r="C58" s="316" t="n"/>
      <c r="D58" s="316" t="n"/>
      <c r="E58" s="317" t="n"/>
      <c r="F58" s="317" t="n"/>
      <c r="G58" s="318" t="n"/>
      <c r="H58" s="316" t="n"/>
      <c r="I58" s="301" t="n"/>
      <c r="J58" s="301" t="n"/>
    </row>
    <row r="59" ht="15" customHeight="1" s="221">
      <c r="A59" s="319" t="n"/>
      <c r="B59" s="324" t="n"/>
      <c r="C59" s="322" t="n"/>
      <c r="D59" s="322" t="n"/>
      <c r="E59" s="323" t="n"/>
      <c r="F59" s="323" t="n"/>
      <c r="G59" s="324" t="n"/>
      <c r="H59" s="322" t="n"/>
      <c r="I59" s="301" t="n"/>
      <c r="J59" s="301" t="n"/>
    </row>
    <row r="60" ht="15" customHeight="1" s="221">
      <c r="A60" s="313" t="n"/>
      <c r="B60" s="318" t="n"/>
      <c r="C60" s="316" t="n"/>
      <c r="D60" s="316" t="n"/>
      <c r="E60" s="317" t="n"/>
      <c r="F60" s="317" t="n"/>
      <c r="G60" s="318" t="n"/>
      <c r="H60" s="316" t="n"/>
      <c r="I60" s="301" t="n"/>
      <c r="J60" s="301" t="n"/>
    </row>
    <row r="61" ht="15" customHeight="1" s="221">
      <c r="A61" s="319" t="n"/>
      <c r="B61" s="324" t="n"/>
      <c r="C61" s="322" t="n"/>
      <c r="D61" s="322" t="n"/>
      <c r="E61" s="323" t="n"/>
      <c r="F61" s="323" t="n"/>
      <c r="G61" s="324" t="n"/>
      <c r="H61" s="322" t="n"/>
      <c r="I61" s="301" t="n"/>
      <c r="J61" s="301" t="n"/>
    </row>
    <row r="62" ht="15" customHeight="1" s="221">
      <c r="A62" s="313" t="n"/>
      <c r="B62" s="318" t="n"/>
      <c r="C62" s="316" t="n"/>
      <c r="D62" s="316" t="n"/>
      <c r="E62" s="317" t="n"/>
      <c r="F62" s="317" t="n"/>
      <c r="G62" s="318" t="n"/>
      <c r="H62" s="316" t="n"/>
      <c r="I62" s="301" t="n"/>
      <c r="J62" s="301" t="n"/>
    </row>
    <row r="63" ht="15" customHeight="1" s="221">
      <c r="A63" s="319" t="n"/>
      <c r="B63" s="324" t="n"/>
      <c r="C63" s="322" t="n"/>
      <c r="D63" s="322" t="n"/>
      <c r="E63" s="323" t="n"/>
      <c r="F63" s="323" t="n"/>
      <c r="G63" s="324" t="n"/>
      <c r="H63" s="322" t="n"/>
      <c r="I63" s="301" t="n"/>
      <c r="J63" s="301" t="n"/>
    </row>
    <row r="64" ht="15" customHeight="1" s="221">
      <c r="A64" s="313" t="n"/>
      <c r="B64" s="318" t="n"/>
      <c r="C64" s="316" t="n"/>
      <c r="D64" s="316" t="n"/>
      <c r="E64" s="317" t="n"/>
      <c r="F64" s="317" t="n"/>
      <c r="G64" s="318" t="n"/>
      <c r="H64" s="316" t="n"/>
      <c r="I64" s="301" t="n"/>
      <c r="J64" s="301" t="n"/>
    </row>
    <row r="65" ht="15" customHeight="1" s="221">
      <c r="A65" s="319" t="n"/>
      <c r="B65" s="324" t="n"/>
      <c r="C65" s="322" t="n"/>
      <c r="D65" s="322" t="n"/>
      <c r="E65" s="323" t="n"/>
      <c r="F65" s="323" t="n"/>
      <c r="G65" s="324" t="n"/>
      <c r="H65" s="322" t="n"/>
      <c r="I65" s="301" t="n"/>
      <c r="J65" s="301" t="n"/>
    </row>
    <row r="66" ht="15" customHeight="1" s="221">
      <c r="A66" s="313" t="n"/>
      <c r="B66" s="318" t="n"/>
      <c r="C66" s="316" t="n"/>
      <c r="D66" s="316" t="n"/>
      <c r="E66" s="317" t="n"/>
      <c r="F66" s="317" t="n"/>
      <c r="G66" s="318" t="n"/>
      <c r="H66" s="316" t="n"/>
      <c r="I66" s="301" t="n"/>
      <c r="J66" s="301" t="n"/>
    </row>
    <row r="67" ht="15" customHeight="1" s="221">
      <c r="A67" s="319" t="n"/>
      <c r="B67" s="324" t="n"/>
      <c r="C67" s="322" t="n"/>
      <c r="D67" s="322" t="n"/>
      <c r="E67" s="323" t="n"/>
      <c r="F67" s="323" t="n"/>
      <c r="G67" s="324" t="n"/>
      <c r="H67" s="322" t="n"/>
      <c r="I67" s="301" t="n"/>
      <c r="J67" s="301" t="n"/>
    </row>
    <row r="68" ht="15" customHeight="1" s="221">
      <c r="A68" s="313" t="n"/>
      <c r="B68" s="318" t="n"/>
      <c r="C68" s="316" t="n"/>
      <c r="D68" s="316" t="n"/>
      <c r="E68" s="317" t="n"/>
      <c r="F68" s="317" t="n"/>
      <c r="G68" s="318" t="n"/>
      <c r="H68" s="316" t="n"/>
      <c r="I68" s="301" t="n"/>
      <c r="J68" s="301" t="n"/>
    </row>
    <row r="69" ht="15" customHeight="1" s="221">
      <c r="A69" s="319" t="n"/>
      <c r="B69" s="324" t="n"/>
      <c r="C69" s="322" t="n"/>
      <c r="D69" s="322" t="n"/>
      <c r="E69" s="323" t="n"/>
      <c r="F69" s="323" t="n"/>
      <c r="G69" s="324" t="n"/>
      <c r="H69" s="322" t="n"/>
      <c r="I69" s="301" t="n"/>
      <c r="J69" s="301" t="n"/>
    </row>
    <row r="70" ht="15" customHeight="1" s="221">
      <c r="A70" s="313" t="n"/>
      <c r="B70" s="318" t="n"/>
      <c r="C70" s="316" t="n"/>
      <c r="D70" s="316" t="n"/>
      <c r="E70" s="317" t="n"/>
      <c r="F70" s="317" t="n"/>
      <c r="G70" s="318" t="n"/>
      <c r="H70" s="316" t="n"/>
      <c r="I70" s="301" t="n"/>
      <c r="J70" s="301" t="n"/>
    </row>
    <row r="71" ht="15" customHeight="1" s="221">
      <c r="A71" s="319" t="n"/>
      <c r="B71" s="324" t="n"/>
      <c r="C71" s="322" t="n"/>
      <c r="D71" s="322" t="n"/>
      <c r="E71" s="323" t="n"/>
      <c r="F71" s="323" t="n"/>
      <c r="G71" s="324" t="n"/>
      <c r="H71" s="322" t="n"/>
      <c r="I71" s="301" t="n"/>
      <c r="J71" s="301" t="n"/>
    </row>
    <row r="72" ht="15" customHeight="1" s="221">
      <c r="A72" s="313" t="n"/>
      <c r="B72" s="318" t="n"/>
      <c r="C72" s="316" t="n"/>
      <c r="D72" s="316" t="n"/>
      <c r="E72" s="317" t="n"/>
      <c r="F72" s="317" t="n"/>
      <c r="G72" s="318" t="n"/>
      <c r="H72" s="316" t="n"/>
      <c r="I72" s="301" t="n"/>
      <c r="J72" s="301" t="n"/>
    </row>
    <row r="73" ht="15" customHeight="1" s="221">
      <c r="A73" s="319" t="n"/>
      <c r="B73" s="324" t="n"/>
      <c r="C73" s="322" t="n"/>
      <c r="D73" s="322" t="n"/>
      <c r="E73" s="323" t="n"/>
      <c r="F73" s="323" t="n"/>
      <c r="G73" s="324" t="n"/>
      <c r="H73" s="322" t="n"/>
      <c r="I73" s="301" t="n"/>
      <c r="J73" s="301" t="n"/>
    </row>
    <row r="74" ht="15" customHeight="1" s="221">
      <c r="A74" s="313" t="n"/>
      <c r="B74" s="318" t="n"/>
      <c r="C74" s="316" t="n"/>
      <c r="D74" s="316" t="n"/>
      <c r="E74" s="317" t="n"/>
      <c r="F74" s="317" t="n"/>
      <c r="G74" s="318" t="n"/>
      <c r="H74" s="316" t="n"/>
      <c r="I74" s="301" t="n"/>
      <c r="J74" s="301" t="n"/>
    </row>
    <row r="75" ht="15" customHeight="1" s="221">
      <c r="A75" s="319" t="n"/>
      <c r="B75" s="324" t="n"/>
      <c r="C75" s="322" t="n"/>
      <c r="D75" s="322" t="n"/>
      <c r="E75" s="323" t="n"/>
      <c r="F75" s="323" t="n"/>
      <c r="G75" s="324" t="n"/>
      <c r="H75" s="322" t="n"/>
      <c r="I75" s="301" t="n"/>
      <c r="J75" s="301" t="n"/>
    </row>
    <row r="76" ht="15" customHeight="1" s="221">
      <c r="A76" s="313" t="n"/>
      <c r="B76" s="318" t="n"/>
      <c r="C76" s="316" t="n"/>
      <c r="D76" s="316" t="n"/>
      <c r="E76" s="317" t="n"/>
      <c r="F76" s="317" t="n"/>
      <c r="G76" s="318" t="n"/>
      <c r="H76" s="316" t="n"/>
      <c r="I76" s="301" t="n"/>
      <c r="J76" s="301" t="n"/>
    </row>
    <row r="77" ht="15" customHeight="1" s="221">
      <c r="A77" s="319" t="n"/>
      <c r="B77" s="324" t="n"/>
      <c r="C77" s="322" t="n"/>
      <c r="D77" s="322" t="n"/>
      <c r="E77" s="323" t="n"/>
      <c r="F77" s="323" t="n"/>
      <c r="G77" s="324" t="n"/>
      <c r="H77" s="322" t="n"/>
      <c r="I77" s="301" t="n"/>
      <c r="J77" s="301" t="n"/>
    </row>
    <row r="78" ht="15" customHeight="1" s="221">
      <c r="A78" s="313" t="n"/>
      <c r="B78" s="318" t="n"/>
      <c r="C78" s="316" t="n"/>
      <c r="D78" s="316" t="n"/>
      <c r="E78" s="317" t="n"/>
      <c r="F78" s="317" t="n"/>
      <c r="G78" s="318" t="n"/>
      <c r="H78" s="316" t="n"/>
      <c r="I78" s="301" t="n"/>
      <c r="J78" s="301" t="n"/>
    </row>
    <row r="79" ht="15" customHeight="1" s="221">
      <c r="A79" s="319" t="n"/>
      <c r="B79" s="324" t="n"/>
      <c r="C79" s="322" t="n"/>
      <c r="D79" s="322" t="n"/>
      <c r="E79" s="323" t="n"/>
      <c r="F79" s="323" t="n"/>
      <c r="G79" s="324" t="n"/>
      <c r="H79" s="322" t="n"/>
      <c r="I79" s="301" t="n"/>
      <c r="J79" s="301" t="n"/>
    </row>
    <row r="80" ht="15" customHeight="1" s="221">
      <c r="A80" s="313" t="n"/>
      <c r="B80" s="318" t="n"/>
      <c r="C80" s="316" t="n"/>
      <c r="D80" s="316" t="n"/>
      <c r="E80" s="317" t="n"/>
      <c r="F80" s="317" t="n"/>
      <c r="G80" s="318" t="n"/>
      <c r="H80" s="316" t="n"/>
      <c r="I80" s="301" t="n"/>
      <c r="J80" s="301" t="n"/>
    </row>
    <row r="81" ht="15" customHeight="1" s="221">
      <c r="A81" s="319" t="n"/>
      <c r="B81" s="324" t="n"/>
      <c r="C81" s="322" t="n"/>
      <c r="D81" s="322" t="n"/>
      <c r="E81" s="323" t="n"/>
      <c r="F81" s="323" t="n"/>
      <c r="G81" s="324" t="n"/>
      <c r="H81" s="322" t="n"/>
      <c r="I81" s="301" t="n"/>
      <c r="J81" s="301" t="n"/>
    </row>
    <row r="82" ht="15" customHeight="1" s="221">
      <c r="A82" s="313" t="n"/>
      <c r="B82" s="318" t="n"/>
      <c r="C82" s="316" t="n"/>
      <c r="D82" s="316" t="n"/>
      <c r="E82" s="317" t="n"/>
      <c r="F82" s="317" t="n"/>
      <c r="G82" s="318" t="n"/>
      <c r="H82" s="316" t="n"/>
      <c r="I82" s="301" t="n"/>
      <c r="J82" s="301" t="n"/>
    </row>
    <row r="83" ht="15" customHeight="1" s="221">
      <c r="A83" s="319" t="n"/>
      <c r="B83" s="324" t="n"/>
      <c r="C83" s="322" t="n"/>
      <c r="D83" s="322" t="n"/>
      <c r="E83" s="323" t="n"/>
      <c r="F83" s="323" t="n"/>
      <c r="G83" s="324" t="n"/>
      <c r="H83" s="322" t="n"/>
      <c r="I83" s="301" t="n"/>
      <c r="J83" s="301" t="n"/>
    </row>
    <row r="84" ht="15" customHeight="1" s="221">
      <c r="A84" s="313" t="n"/>
      <c r="B84" s="318" t="n"/>
      <c r="C84" s="316" t="n"/>
      <c r="D84" s="316" t="n"/>
      <c r="E84" s="317" t="n"/>
      <c r="F84" s="317" t="n"/>
      <c r="G84" s="318" t="n"/>
      <c r="H84" s="316" t="n"/>
      <c r="I84" s="301" t="n"/>
      <c r="J84" s="301" t="n"/>
    </row>
    <row r="85" ht="15" customHeight="1" s="221">
      <c r="A85" s="319" t="n"/>
      <c r="B85" s="324" t="n"/>
      <c r="C85" s="322" t="n"/>
      <c r="D85" s="322" t="n"/>
      <c r="E85" s="323" t="n"/>
      <c r="F85" s="323" t="n"/>
      <c r="G85" s="324" t="n"/>
      <c r="H85" s="322" t="n"/>
      <c r="I85" s="301" t="n"/>
      <c r="J85" s="301" t="n"/>
    </row>
    <row r="86" ht="15" customHeight="1" s="221">
      <c r="A86" s="313" t="n"/>
      <c r="B86" s="318" t="n"/>
      <c r="C86" s="316" t="n"/>
      <c r="D86" s="316" t="n"/>
      <c r="E86" s="317" t="n"/>
      <c r="F86" s="317" t="n"/>
      <c r="G86" s="318" t="n"/>
      <c r="H86" s="316" t="n"/>
      <c r="I86" s="301" t="n"/>
      <c r="J86" s="301" t="n"/>
    </row>
    <row r="87" ht="15" customHeight="1" s="221">
      <c r="A87" s="319" t="n"/>
      <c r="B87" s="324" t="n"/>
      <c r="C87" s="322" t="n"/>
      <c r="D87" s="322" t="n"/>
      <c r="E87" s="323" t="n"/>
      <c r="F87" s="323" t="n"/>
      <c r="G87" s="324" t="n"/>
      <c r="H87" s="322" t="n"/>
      <c r="I87" s="301" t="n"/>
      <c r="J87" s="301" t="n"/>
    </row>
    <row r="88" ht="15" customHeight="1" s="221">
      <c r="A88" s="313" t="n"/>
      <c r="B88" s="318" t="n"/>
      <c r="C88" s="316" t="n"/>
      <c r="D88" s="316" t="n"/>
      <c r="E88" s="317" t="n"/>
      <c r="F88" s="317" t="n"/>
      <c r="G88" s="318" t="n"/>
      <c r="H88" s="316" t="n"/>
      <c r="I88" s="301" t="n"/>
      <c r="J88" s="301" t="n"/>
    </row>
    <row r="89" ht="15" customHeight="1" s="221">
      <c r="A89" s="319" t="n"/>
      <c r="B89" s="324" t="n"/>
      <c r="C89" s="322" t="n"/>
      <c r="D89" s="322" t="n"/>
      <c r="E89" s="323" t="n"/>
      <c r="F89" s="323" t="n"/>
      <c r="G89" s="324" t="n"/>
      <c r="H89" s="322" t="n"/>
      <c r="I89" s="301" t="n"/>
      <c r="J89" s="301" t="n"/>
    </row>
    <row r="90" ht="15" customHeight="1" s="221">
      <c r="A90" s="313" t="n"/>
      <c r="B90" s="318" t="n"/>
      <c r="C90" s="316" t="n"/>
      <c r="D90" s="316" t="n"/>
      <c r="E90" s="317" t="n"/>
      <c r="F90" s="317" t="n"/>
      <c r="G90" s="318" t="n"/>
      <c r="H90" s="316" t="n"/>
      <c r="I90" s="301" t="n"/>
      <c r="J90" s="301" t="n"/>
    </row>
    <row r="91" ht="15" customHeight="1" s="221">
      <c r="A91" s="319" t="n"/>
      <c r="B91" s="324" t="n"/>
      <c r="C91" s="322" t="n"/>
      <c r="D91" s="322" t="n"/>
      <c r="E91" s="323" t="n"/>
      <c r="F91" s="323" t="n"/>
      <c r="G91" s="324" t="n"/>
      <c r="H91" s="322" t="n"/>
      <c r="I91" s="301" t="n"/>
      <c r="J91" s="301" t="n"/>
    </row>
    <row r="92" ht="15" customHeight="1" s="221">
      <c r="A92" s="313" t="n"/>
      <c r="B92" s="318" t="n"/>
      <c r="C92" s="316" t="n"/>
      <c r="D92" s="316" t="n"/>
      <c r="E92" s="317" t="n"/>
      <c r="F92" s="317" t="n"/>
      <c r="G92" s="318" t="n"/>
      <c r="H92" s="316" t="n"/>
      <c r="I92" s="301" t="n"/>
      <c r="J92" s="301" t="n"/>
    </row>
    <row r="93" ht="15" customHeight="1" s="221">
      <c r="A93" s="319" t="n"/>
      <c r="B93" s="324" t="n"/>
      <c r="C93" s="322" t="n"/>
      <c r="D93" s="322" t="n"/>
      <c r="E93" s="323" t="n"/>
      <c r="F93" s="323" t="n"/>
      <c r="G93" s="324" t="n"/>
      <c r="H93" s="322" t="n"/>
      <c r="I93" s="301" t="n"/>
      <c r="J93" s="301" t="n"/>
    </row>
    <row r="94" ht="15" customHeight="1" s="221">
      <c r="A94" s="313" t="n"/>
      <c r="B94" s="318" t="n"/>
      <c r="C94" s="316" t="n"/>
      <c r="D94" s="316" t="n"/>
      <c r="E94" s="317" t="n"/>
      <c r="F94" s="317" t="n"/>
      <c r="G94" s="318" t="n"/>
      <c r="H94" s="316" t="n"/>
      <c r="I94" s="301" t="n"/>
      <c r="J94" s="301" t="n"/>
    </row>
    <row r="95" ht="15" customHeight="1" s="221">
      <c r="A95" s="319" t="n"/>
      <c r="B95" s="324" t="n"/>
      <c r="C95" s="322" t="n"/>
      <c r="D95" s="322" t="n"/>
      <c r="E95" s="323" t="n"/>
      <c r="F95" s="323" t="n"/>
      <c r="G95" s="324" t="n"/>
      <c r="H95" s="322" t="n"/>
      <c r="I95" s="301" t="n"/>
      <c r="J95" s="301" t="n"/>
    </row>
    <row r="96" ht="15" customHeight="1" s="221">
      <c r="A96" s="313" t="n"/>
      <c r="B96" s="318" t="n"/>
      <c r="C96" s="316" t="n"/>
      <c r="D96" s="316" t="n"/>
      <c r="E96" s="317" t="n"/>
      <c r="F96" s="317" t="n"/>
      <c r="G96" s="318" t="n"/>
      <c r="H96" s="316" t="n"/>
      <c r="I96" s="301" t="n"/>
      <c r="J96" s="301" t="n"/>
    </row>
    <row r="97" ht="15" customHeight="1" s="221">
      <c r="A97" s="319" t="n"/>
      <c r="B97" s="324" t="n"/>
      <c r="C97" s="322" t="n"/>
      <c r="D97" s="322" t="n"/>
      <c r="E97" s="323" t="n"/>
      <c r="F97" s="323" t="n"/>
      <c r="G97" s="324" t="n"/>
      <c r="H97" s="322" t="n"/>
      <c r="I97" s="301" t="n"/>
      <c r="J97" s="301" t="n"/>
    </row>
    <row r="98" ht="15" customHeight="1" s="221">
      <c r="A98" s="313" t="n"/>
      <c r="B98" s="318" t="n"/>
      <c r="C98" s="316" t="n"/>
      <c r="D98" s="316" t="n"/>
      <c r="E98" s="317" t="n"/>
      <c r="F98" s="317" t="n"/>
      <c r="G98" s="318" t="n"/>
      <c r="H98" s="316" t="n"/>
      <c r="I98" s="301" t="n"/>
      <c r="J98" s="301" t="n"/>
    </row>
    <row r="99" ht="15" customHeight="1" s="221">
      <c r="A99" s="319" t="n"/>
      <c r="B99" s="324" t="n"/>
      <c r="C99" s="322" t="n"/>
      <c r="D99" s="322" t="n"/>
      <c r="E99" s="323" t="n"/>
      <c r="F99" s="323" t="n"/>
      <c r="G99" s="324" t="n"/>
      <c r="H99" s="322" t="n"/>
      <c r="I99" s="301" t="n"/>
      <c r="J99" s="301" t="n"/>
    </row>
    <row r="100" ht="15" customHeight="1" s="221">
      <c r="A100" s="313" t="n"/>
      <c r="B100" s="318" t="n"/>
      <c r="C100" s="316" t="n"/>
      <c r="D100" s="316" t="n"/>
      <c r="E100" s="317" t="n"/>
      <c r="F100" s="317" t="n"/>
      <c r="G100" s="318" t="n"/>
      <c r="H100" s="316" t="n"/>
      <c r="I100" s="301" t="n"/>
      <c r="J100" s="301" t="n"/>
    </row>
    <row r="101" ht="15" customHeight="1" s="221">
      <c r="A101" s="319" t="n"/>
      <c r="B101" s="324" t="n"/>
      <c r="C101" s="322" t="n"/>
      <c r="D101" s="322" t="n"/>
      <c r="E101" s="323" t="n"/>
      <c r="F101" s="323" t="n"/>
      <c r="G101" s="324" t="n"/>
      <c r="H101" s="322" t="n"/>
      <c r="I101" s="301" t="n"/>
      <c r="J101" s="301" t="n"/>
    </row>
    <row r="102" ht="15" customHeight="1" s="221">
      <c r="A102" s="313" t="n"/>
      <c r="B102" s="318" t="n"/>
      <c r="C102" s="316" t="n"/>
      <c r="D102" s="316" t="n"/>
      <c r="E102" s="317" t="n"/>
      <c r="F102" s="317" t="n"/>
      <c r="G102" s="318" t="n"/>
      <c r="H102" s="316" t="n"/>
      <c r="I102" s="301" t="n"/>
      <c r="J102" s="301" t="n"/>
    </row>
    <row r="103" ht="15" customHeight="1" s="221">
      <c r="A103" s="319" t="n"/>
      <c r="B103" s="324" t="n"/>
      <c r="C103" s="322" t="n"/>
      <c r="D103" s="322" t="n"/>
      <c r="E103" s="323" t="n"/>
      <c r="F103" s="323" t="n"/>
      <c r="G103" s="324" t="n"/>
      <c r="H103" s="322" t="n"/>
      <c r="I103" s="301" t="n"/>
      <c r="J103" s="301" t="n"/>
    </row>
    <row r="104" ht="15" customHeight="1" s="221">
      <c r="A104" s="325" t="inlineStr">
        <is>
          <t>TOTALES</t>
        </is>
      </c>
      <c r="E104" s="326">
        <f>SUM(E4:E103)</f>
        <v/>
      </c>
      <c r="F104" s="327">
        <f>SUM(F4:F103)</f>
        <v/>
      </c>
      <c r="G104" s="301" t="n"/>
      <c r="H104" s="301" t="n"/>
      <c r="I104" s="301" t="n"/>
      <c r="J104" s="301" t="n"/>
    </row>
    <row r="105" ht="18" customHeight="1" s="221">
      <c r="A105" s="301" t="n"/>
      <c r="B105" s="301" t="n"/>
      <c r="C105" s="301" t="n"/>
      <c r="D105" s="301" t="n"/>
      <c r="E105" s="328" t="n"/>
      <c r="F105" s="301" t="n"/>
      <c r="G105" s="301" t="n"/>
      <c r="H105" s="301" t="n"/>
      <c r="I105" s="301" t="n"/>
      <c r="J105" s="301" t="n"/>
    </row>
    <row r="106" ht="15" customHeight="1" s="221">
      <c r="A106" s="310" t="inlineStr">
        <is>
          <t>📊 RESUMEN DEL MES</t>
        </is>
      </c>
      <c r="D106" s="301" t="n"/>
      <c r="E106" s="328" t="n"/>
      <c r="F106" s="301" t="n"/>
      <c r="G106" s="301" t="n"/>
      <c r="H106" s="301" t="n"/>
      <c r="I106" s="301" t="n"/>
      <c r="J106" s="301" t="n"/>
    </row>
    <row r="107" ht="15" customHeight="1" s="221">
      <c r="A107" s="223" t="inlineStr">
        <is>
          <t>INGRESOS:</t>
        </is>
      </c>
      <c r="B107" s="301" t="n"/>
      <c r="C107" s="328">
        <f>SUMIF(B4:B103,"Ingreso NT",E4:E103)</f>
        <v/>
      </c>
      <c r="D107" s="301" t="n"/>
      <c r="E107" s="328" t="n"/>
      <c r="F107" s="301" t="n"/>
      <c r="G107" s="301" t="n"/>
      <c r="H107" s="301" t="n"/>
      <c r="I107" s="301" t="n"/>
      <c r="J107" s="301" t="n"/>
    </row>
    <row r="108" ht="15" customHeight="1" s="221">
      <c r="A108" s="301" t="inlineStr">
        <is>
          <t xml:space="preserve">  Ingreso NT:</t>
        </is>
      </c>
      <c r="B108" s="301" t="n"/>
      <c r="C108" s="329">
        <f>SUMIF(B4:B103,"Ingreso NT",E4:E103)</f>
        <v/>
      </c>
      <c r="D108" s="301" t="n"/>
      <c r="E108" s="328" t="n"/>
      <c r="F108" s="301" t="n"/>
      <c r="G108" s="301" t="n"/>
      <c r="H108" s="301" t="n"/>
      <c r="I108" s="301" t="n"/>
      <c r="J108" s="301" t="n"/>
    </row>
    <row r="109" ht="15" customHeight="1" s="221">
      <c r="A109" s="301" t="inlineStr">
        <is>
          <t xml:space="preserve">  Ingreso Marco:</t>
        </is>
      </c>
      <c r="B109" s="301" t="n"/>
      <c r="C109" s="330">
        <f>SUMIF(B4:B103,"Ingreso Marco",E4:E103)</f>
        <v/>
      </c>
      <c r="D109" s="301" t="n"/>
      <c r="E109" s="328" t="n"/>
      <c r="F109" s="301" t="n"/>
      <c r="G109" s="301" t="n"/>
      <c r="H109" s="301" t="n"/>
      <c r="I109" s="301" t="n"/>
      <c r="J109" s="301" t="n"/>
    </row>
    <row r="110" ht="15" customHeight="1" s="221">
      <c r="A110" s="301" t="inlineStr">
        <is>
          <t xml:space="preserve">  Ingreso Clara:</t>
        </is>
      </c>
      <c r="B110" s="301" t="n"/>
      <c r="C110" s="331">
        <f>SUMIF(B4:B103,"Ingreso Clara",E4:E103)</f>
        <v/>
      </c>
      <c r="D110" s="301" t="n"/>
      <c r="E110" s="328" t="n"/>
      <c r="F110" s="301" t="n"/>
      <c r="G110" s="301" t="n"/>
      <c r="H110" s="301" t="n"/>
      <c r="I110" s="301" t="n"/>
      <c r="J110" s="301" t="n"/>
    </row>
    <row r="111" ht="15" customHeight="1" s="221">
      <c r="A111" s="301" t="inlineStr">
        <is>
          <t xml:space="preserve">  Devolución Fam → NT:</t>
        </is>
      </c>
      <c r="B111" s="301" t="n"/>
      <c r="C111" s="332">
        <f>SUMIF(B4:B103,"Devolución Familia → NT",E4:E103)</f>
        <v/>
      </c>
      <c r="D111" s="301" t="n"/>
      <c r="E111" s="328" t="n"/>
      <c r="F111" s="301" t="n"/>
      <c r="G111" s="301" t="n"/>
      <c r="H111" s="301" t="n"/>
      <c r="I111" s="301" t="n"/>
      <c r="J111" s="301" t="n"/>
    </row>
    <row r="112" ht="15" customHeight="1" s="221">
      <c r="A112" s="223" t="inlineStr">
        <is>
          <t xml:space="preserve">  TOTAL INGRESOS:</t>
        </is>
      </c>
      <c r="B112" s="301" t="n"/>
      <c r="C112" s="333">
        <f>SUM(C108:C111)</f>
        <v/>
      </c>
      <c r="D112" s="301" t="n"/>
      <c r="E112" s="328" t="n"/>
      <c r="F112" s="301" t="n"/>
      <c r="G112" s="301" t="n"/>
      <c r="H112" s="301" t="n"/>
      <c r="I112" s="301" t="n"/>
      <c r="J112" s="301" t="n"/>
    </row>
    <row r="113" ht="15" customHeight="1" s="221">
      <c r="A113" s="301" t="inlineStr">
        <is>
          <t>EGRESOS:</t>
        </is>
      </c>
      <c r="B113" s="301" t="n"/>
      <c r="C113" s="301" t="n"/>
      <c r="D113" s="301" t="n"/>
      <c r="E113" s="328" t="n"/>
      <c r="F113" s="301" t="n"/>
      <c r="G113" s="301" t="n"/>
      <c r="H113" s="301" t="n"/>
      <c r="I113" s="301" t="n"/>
      <c r="J113" s="301" t="n"/>
    </row>
    <row r="114" ht="15" customHeight="1" s="221">
      <c r="A114" s="223" t="inlineStr">
        <is>
          <t>EGRESOS:</t>
        </is>
      </c>
      <c r="B114" s="301" t="n"/>
      <c r="C114" s="328">
        <f>SUMIF(B4:B103,"Egreso NT",F4:F103)</f>
        <v/>
      </c>
      <c r="D114" s="301" t="n"/>
      <c r="E114" s="328" t="n"/>
      <c r="F114" s="301" t="n"/>
      <c r="G114" s="301" t="n"/>
      <c r="H114" s="301" t="n"/>
      <c r="I114" s="301" t="n"/>
      <c r="J114" s="301" t="n"/>
    </row>
    <row r="115" ht="15" customHeight="1" s="221">
      <c r="A115" s="301" t="inlineStr">
        <is>
          <t xml:space="preserve">  Egreso NT:</t>
        </is>
      </c>
      <c r="B115" s="301" t="n"/>
      <c r="C115" s="334">
        <f>SUMIF(B4:B103,"Egreso NT",F4:F103)</f>
        <v/>
      </c>
      <c r="D115" s="301" t="n"/>
      <c r="E115" s="328" t="n"/>
      <c r="F115" s="301" t="n"/>
      <c r="G115" s="301" t="n"/>
      <c r="H115" s="301" t="n"/>
      <c r="I115" s="301" t="n"/>
      <c r="J115" s="301" t="n"/>
    </row>
    <row r="116" ht="15" customHeight="1" s="221">
      <c r="A116" s="301" t="inlineStr">
        <is>
          <t xml:space="preserve">  Egreso Familiar:</t>
        </is>
      </c>
      <c r="B116" s="301" t="n"/>
      <c r="C116" s="335">
        <f>SUMIF(B4:B103,"Egreso Familiar",F4:F103)</f>
        <v/>
      </c>
      <c r="D116" s="301" t="n"/>
      <c r="E116" s="328" t="n"/>
      <c r="F116" s="301" t="n"/>
      <c r="G116" s="301" t="n"/>
      <c r="H116" s="301" t="n"/>
      <c r="I116" s="301" t="n"/>
      <c r="J116" s="301" t="n"/>
    </row>
    <row r="117" ht="15" customHeight="1" s="221">
      <c r="A117" s="301" t="inlineStr">
        <is>
          <t xml:space="preserve">  Préstamo NT → Fam:</t>
        </is>
      </c>
      <c r="B117" s="301" t="n"/>
      <c r="C117" s="336">
        <f>SUMIF(B4:B103,"Préstamo NT → Familia",F4:F103)</f>
        <v/>
      </c>
      <c r="D117" s="301" t="n"/>
      <c r="E117" s="328" t="n"/>
      <c r="F117" s="301" t="n"/>
      <c r="G117" s="301" t="n"/>
      <c r="H117" s="301" t="n"/>
      <c r="I117" s="301" t="n"/>
      <c r="J117" s="301" t="n"/>
    </row>
    <row r="118" ht="15" customHeight="1" s="221">
      <c r="A118" s="223" t="inlineStr">
        <is>
          <t xml:space="preserve">  TOTAL EGRESOS:</t>
        </is>
      </c>
      <c r="B118" s="301" t="n"/>
      <c r="C118" s="337">
        <f>SUM(C115:C117)</f>
        <v/>
      </c>
      <c r="D118" s="301" t="n"/>
      <c r="E118" s="328" t="n"/>
      <c r="F118" s="301" t="n"/>
      <c r="G118" s="301" t="n"/>
      <c r="H118" s="301" t="n"/>
      <c r="I118" s="301" t="n"/>
      <c r="J118" s="301" t="n"/>
    </row>
    <row r="119" ht="15" customHeight="1" s="221">
      <c r="A119" s="301" t="n"/>
      <c r="B119" s="301" t="n"/>
      <c r="C119" s="301" t="n"/>
      <c r="D119" s="301" t="n"/>
      <c r="E119" s="328" t="n"/>
      <c r="F119" s="301" t="n"/>
      <c r="G119" s="301" t="n"/>
      <c r="H119" s="301" t="n"/>
      <c r="I119" s="301" t="n"/>
      <c r="J119" s="301" t="n"/>
    </row>
    <row r="120" ht="15" customHeight="1" s="221">
      <c r="A120" s="223" t="inlineStr">
        <is>
          <t>SALDO PRÉSTAMO NT → FAM:</t>
        </is>
      </c>
      <c r="B120" s="301" t="n"/>
      <c r="C120" s="338">
        <f>C117-C111</f>
        <v/>
      </c>
      <c r="D120" s="301" t="n"/>
      <c r="E120" s="328" t="n"/>
      <c r="F120" s="301" t="n"/>
      <c r="G120" s="301" t="n"/>
      <c r="H120" s="301" t="n"/>
      <c r="I120" s="301" t="n"/>
      <c r="J120" s="301" t="n"/>
    </row>
    <row r="121" ht="15" customHeight="1" s="221">
      <c r="A121" s="339" t="inlineStr">
        <is>
          <t>(Prestado - Devuelto)</t>
        </is>
      </c>
      <c r="B121" s="301" t="n"/>
      <c r="C121" s="301" t="n"/>
      <c r="D121" s="301" t="n"/>
      <c r="E121" s="328" t="n"/>
      <c r="F121" s="301" t="n"/>
      <c r="G121" s="301" t="n"/>
      <c r="H121" s="301" t="n"/>
      <c r="I121" s="301" t="n"/>
      <c r="J121" s="301" t="n"/>
    </row>
    <row r="122" ht="15" customHeight="1" s="221">
      <c r="A122" s="301" t="n"/>
      <c r="B122" s="301" t="n"/>
      <c r="C122" s="301" t="n"/>
      <c r="D122" s="301" t="n"/>
      <c r="E122" s="328" t="n"/>
      <c r="F122" s="301" t="n"/>
      <c r="G122" s="301" t="n"/>
      <c r="H122" s="301" t="n"/>
      <c r="I122" s="301" t="n"/>
      <c r="J122" s="301" t="n"/>
    </row>
    <row r="123" ht="15" customHeight="1" s="221">
      <c r="A123" s="301" t="n"/>
      <c r="B123" s="301" t="n"/>
      <c r="C123" s="301" t="n"/>
      <c r="D123" s="301" t="n"/>
      <c r="E123" s="328" t="n"/>
      <c r="F123" s="301" t="n"/>
      <c r="G123" s="301" t="n"/>
      <c r="H123" s="301" t="n"/>
      <c r="I123" s="301" t="n"/>
      <c r="J123" s="301" t="n"/>
    </row>
    <row r="124" ht="15" customHeight="1" s="221">
      <c r="A124" s="301" t="n"/>
      <c r="B124" s="301" t="n"/>
      <c r="C124" s="301" t="n"/>
      <c r="D124" s="301" t="n"/>
      <c r="E124" s="328" t="n"/>
      <c r="F124" s="301" t="n"/>
      <c r="G124" s="301" t="n"/>
      <c r="H124" s="301" t="n"/>
      <c r="I124" s="301" t="n"/>
      <c r="J124" s="301" t="n"/>
    </row>
    <row r="125" ht="15" customHeight="1" s="221">
      <c r="A125" s="301" t="n"/>
      <c r="B125" s="301" t="n"/>
      <c r="C125" s="301" t="n"/>
      <c r="D125" s="301" t="n"/>
      <c r="E125" s="328" t="n"/>
      <c r="F125" s="301" t="n"/>
      <c r="G125" s="301" t="n"/>
      <c r="H125" s="301" t="n"/>
      <c r="I125" s="301" t="n"/>
      <c r="J125" s="301" t="n"/>
    </row>
    <row r="126" ht="15" customHeight="1" s="221">
      <c r="A126" s="301" t="n"/>
      <c r="B126" s="301" t="n"/>
      <c r="C126" s="301" t="n"/>
      <c r="D126" s="301" t="n"/>
      <c r="E126" s="328" t="n"/>
      <c r="F126" s="301" t="n"/>
      <c r="G126" s="301" t="n"/>
      <c r="H126" s="301" t="n"/>
      <c r="I126" s="301" t="n"/>
      <c r="J126" s="301" t="n"/>
    </row>
    <row r="127" ht="15" customHeight="1" s="221">
      <c r="A127" s="301" t="n"/>
      <c r="B127" s="301" t="n"/>
      <c r="C127" s="301" t="n"/>
      <c r="D127" s="301" t="n"/>
      <c r="E127" s="328" t="n"/>
      <c r="F127" s="301" t="n"/>
      <c r="G127" s="301" t="n"/>
      <c r="H127" s="301" t="n"/>
      <c r="I127" s="301" t="n"/>
      <c r="J127" s="301" t="n"/>
    </row>
    <row r="128" ht="15" customHeight="1" s="221">
      <c r="A128" s="301" t="n"/>
      <c r="B128" s="301" t="n"/>
      <c r="C128" s="301" t="n"/>
      <c r="D128" s="301" t="n"/>
      <c r="E128" s="328" t="n"/>
      <c r="F128" s="301" t="n"/>
      <c r="G128" s="301" t="n"/>
      <c r="H128" s="301" t="n"/>
      <c r="I128" s="301" t="n"/>
      <c r="J128" s="301" t="n"/>
    </row>
    <row r="129" ht="15" customHeight="1" s="221">
      <c r="A129" s="301" t="n"/>
      <c r="B129" s="301" t="n"/>
      <c r="C129" s="301" t="n"/>
      <c r="D129" s="301" t="n"/>
      <c r="E129" s="328" t="n"/>
      <c r="F129" s="301" t="n"/>
      <c r="G129" s="301" t="n"/>
      <c r="H129" s="301" t="n"/>
      <c r="I129" s="301" t="n"/>
      <c r="J129" s="301" t="n"/>
    </row>
    <row r="130" ht="15" customHeight="1" s="221">
      <c r="A130" s="301" t="n"/>
      <c r="B130" s="301" t="n"/>
      <c r="C130" s="301" t="n"/>
      <c r="D130" s="301" t="n"/>
      <c r="E130" s="328" t="n"/>
      <c r="F130" s="301" t="n"/>
      <c r="G130" s="301" t="n"/>
      <c r="H130" s="301" t="n"/>
      <c r="I130" s="301" t="n"/>
      <c r="J130" s="301" t="n"/>
    </row>
    <row r="131" ht="15" customHeight="1" s="221">
      <c r="A131" s="301" t="n"/>
      <c r="B131" s="301" t="n"/>
      <c r="C131" s="301" t="n"/>
      <c r="D131" s="301" t="n"/>
      <c r="E131" s="328" t="n"/>
      <c r="F131" s="301" t="n"/>
      <c r="G131" s="301" t="n"/>
      <c r="H131" s="301" t="n"/>
      <c r="I131" s="301" t="n"/>
      <c r="J131" s="301" t="n"/>
    </row>
    <row r="132" ht="15" customHeight="1" s="221">
      <c r="A132" s="301" t="n"/>
      <c r="B132" s="301" t="n"/>
      <c r="C132" s="301" t="n"/>
      <c r="D132" s="301" t="n"/>
      <c r="E132" s="328" t="n"/>
      <c r="F132" s="301" t="n"/>
      <c r="G132" s="301" t="n"/>
      <c r="H132" s="301" t="n"/>
      <c r="I132" s="301" t="n"/>
      <c r="J132" s="301" t="n"/>
    </row>
    <row r="133" ht="15" customHeight="1" s="221">
      <c r="A133" s="301" t="n"/>
      <c r="B133" s="301" t="n"/>
      <c r="C133" s="301" t="n"/>
      <c r="D133" s="301" t="n"/>
      <c r="E133" s="328" t="n"/>
      <c r="F133" s="301" t="n"/>
      <c r="G133" s="301" t="n"/>
      <c r="H133" s="301" t="n"/>
      <c r="I133" s="301" t="n"/>
      <c r="J133" s="301" t="n"/>
    </row>
    <row r="134" ht="15" customHeight="1" s="221">
      <c r="A134" s="301" t="n"/>
      <c r="B134" s="301" t="n"/>
      <c r="C134" s="301" t="n"/>
      <c r="D134" s="301" t="n"/>
      <c r="E134" s="328" t="n"/>
      <c r="F134" s="301" t="n"/>
      <c r="G134" s="301" t="n"/>
      <c r="H134" s="301" t="n"/>
      <c r="I134" s="301" t="n"/>
      <c r="J134" s="301" t="n"/>
    </row>
    <row r="135" ht="15" customHeight="1" s="221">
      <c r="A135" s="301" t="n"/>
      <c r="B135" s="301" t="n"/>
      <c r="C135" s="301" t="n"/>
      <c r="D135" s="301" t="n"/>
      <c r="E135" s="328" t="n"/>
      <c r="F135" s="301" t="n"/>
      <c r="G135" s="301" t="n"/>
      <c r="H135" s="301" t="n"/>
      <c r="I135" s="301" t="n"/>
      <c r="J135" s="301" t="n"/>
    </row>
    <row r="136" ht="15" customHeight="1" s="221">
      <c r="A136" s="301" t="n"/>
      <c r="B136" s="301" t="n"/>
      <c r="C136" s="301" t="n"/>
      <c r="D136" s="301" t="n"/>
      <c r="E136" s="328" t="n"/>
      <c r="F136" s="301" t="n"/>
      <c r="G136" s="301" t="n"/>
      <c r="H136" s="301" t="n"/>
      <c r="I136" s="301" t="n"/>
      <c r="J136" s="301" t="n"/>
    </row>
    <row r="137" ht="15" customHeight="1" s="221">
      <c r="A137" s="301" t="n"/>
      <c r="B137" s="301" t="n"/>
      <c r="C137" s="301" t="n"/>
      <c r="D137" s="301" t="n"/>
      <c r="E137" s="328" t="n"/>
      <c r="F137" s="301" t="n"/>
      <c r="G137" s="301" t="n"/>
      <c r="H137" s="301" t="n"/>
      <c r="I137" s="301" t="n"/>
      <c r="J137" s="301" t="n"/>
    </row>
    <row r="138" ht="15" customHeight="1" s="221">
      <c r="A138" s="301" t="n"/>
      <c r="B138" s="301" t="n"/>
      <c r="C138" s="301" t="n"/>
      <c r="D138" s="301" t="n"/>
      <c r="E138" s="328" t="n"/>
      <c r="F138" s="301" t="n"/>
      <c r="G138" s="301" t="n"/>
      <c r="H138" s="301" t="n"/>
      <c r="I138" s="301" t="n"/>
      <c r="J138" s="301" t="n"/>
    </row>
    <row r="139" ht="15" customHeight="1" s="221">
      <c r="A139" s="301" t="n"/>
      <c r="B139" s="301" t="n"/>
      <c r="C139" s="301" t="n"/>
      <c r="D139" s="301" t="n"/>
      <c r="E139" s="301" t="n"/>
      <c r="F139" s="301" t="n"/>
      <c r="G139" s="301" t="n"/>
      <c r="H139" s="301" t="n"/>
      <c r="I139" s="301" t="n"/>
      <c r="J139" s="301" t="n"/>
    </row>
    <row r="140" ht="15" customHeight="1" s="221">
      <c r="A140" s="301" t="n"/>
      <c r="B140" s="301" t="n"/>
      <c r="C140" s="301" t="n"/>
      <c r="D140" s="301" t="n"/>
      <c r="E140" s="301" t="n"/>
      <c r="F140" s="301" t="n"/>
      <c r="G140" s="301" t="n"/>
      <c r="H140" s="301" t="n"/>
      <c r="I140" s="301" t="n"/>
      <c r="J140" s="301" t="n"/>
    </row>
    <row r="141" ht="15" customHeight="1" s="221">
      <c r="A141" s="301" t="n"/>
      <c r="B141" s="301" t="n"/>
      <c r="C141" s="301" t="n"/>
      <c r="D141" s="301" t="n"/>
      <c r="E141" s="301" t="n"/>
      <c r="F141" s="301" t="n"/>
      <c r="G141" s="301" t="n"/>
      <c r="H141" s="301" t="n"/>
      <c r="I141" s="301" t="n"/>
      <c r="J141" s="301" t="n"/>
    </row>
    <row r="142" ht="15" customHeight="1" s="221">
      <c r="A142" s="301" t="n"/>
      <c r="B142" s="301" t="n"/>
      <c r="C142" s="301" t="n"/>
      <c r="D142" s="301" t="n"/>
      <c r="E142" s="301" t="n"/>
      <c r="F142" s="301" t="n"/>
      <c r="G142" s="301" t="n"/>
      <c r="H142" s="301" t="n"/>
      <c r="I142" s="301" t="n"/>
      <c r="J142" s="301" t="n"/>
    </row>
    <row r="143" ht="15" customHeight="1" s="221">
      <c r="A143" s="301" t="n"/>
      <c r="B143" s="301" t="n"/>
      <c r="C143" s="301" t="n"/>
      <c r="D143" s="301" t="n"/>
      <c r="E143" s="301" t="n"/>
      <c r="F143" s="301" t="n"/>
      <c r="G143" s="301" t="n"/>
      <c r="H143" s="301" t="n"/>
      <c r="I143" s="301" t="n"/>
      <c r="J143" s="301" t="n"/>
    </row>
    <row r="144" ht="15" customHeight="1" s="221">
      <c r="A144" s="301" t="n"/>
      <c r="B144" s="301" t="n"/>
      <c r="C144" s="301" t="n"/>
      <c r="D144" s="301" t="n"/>
      <c r="E144" s="301" t="n"/>
      <c r="F144" s="301" t="n"/>
      <c r="G144" s="301" t="n"/>
      <c r="H144" s="301" t="n"/>
      <c r="I144" s="301" t="n"/>
      <c r="J144" s="301" t="n"/>
    </row>
    <row r="145" ht="15" customHeight="1" s="221">
      <c r="A145" s="301" t="n"/>
      <c r="B145" s="301" t="n"/>
      <c r="C145" s="301" t="n"/>
      <c r="D145" s="301" t="n"/>
      <c r="E145" s="301" t="n"/>
      <c r="F145" s="301" t="n"/>
      <c r="G145" s="301" t="n"/>
      <c r="H145" s="301" t="n"/>
      <c r="I145" s="301" t="n"/>
      <c r="J145" s="301" t="n"/>
    </row>
    <row r="146" ht="15" customHeight="1" s="221">
      <c r="A146" s="301" t="n"/>
      <c r="B146" s="301" t="n"/>
      <c r="C146" s="301" t="n"/>
      <c r="D146" s="301" t="n"/>
      <c r="E146" s="301" t="n"/>
      <c r="F146" s="301" t="n"/>
      <c r="G146" s="301" t="n"/>
      <c r="H146" s="301" t="n"/>
      <c r="I146" s="301" t="n"/>
      <c r="J146" s="301" t="n"/>
    </row>
    <row r="147" ht="15" customHeight="1" s="221">
      <c r="A147" s="301" t="n"/>
      <c r="B147" s="301" t="n"/>
      <c r="C147" s="301" t="n"/>
      <c r="D147" s="301" t="n"/>
      <c r="E147" s="301" t="n"/>
      <c r="F147" s="301" t="n"/>
      <c r="G147" s="301" t="n"/>
      <c r="H147" s="301" t="n"/>
      <c r="I147" s="301" t="n"/>
      <c r="J147" s="301" t="n"/>
    </row>
    <row r="148" ht="15" customHeight="1" s="221">
      <c r="A148" s="301" t="n"/>
      <c r="B148" s="301" t="n"/>
      <c r="C148" s="301" t="n"/>
      <c r="D148" s="301" t="n"/>
      <c r="E148" s="301" t="n"/>
      <c r="F148" s="301" t="n"/>
      <c r="G148" s="301" t="n"/>
      <c r="H148" s="301" t="n"/>
      <c r="I148" s="301" t="n"/>
      <c r="J148" s="301" t="n"/>
    </row>
    <row r="149" ht="15" customHeight="1" s="221">
      <c r="A149" s="301" t="n"/>
      <c r="B149" s="301" t="n"/>
      <c r="C149" s="301" t="n"/>
      <c r="D149" s="301" t="n"/>
      <c r="E149" s="301" t="n"/>
      <c r="F149" s="301" t="n"/>
      <c r="G149" s="301" t="n"/>
      <c r="H149" s="301" t="n"/>
      <c r="I149" s="301" t="n"/>
      <c r="J149" s="301" t="n"/>
    </row>
    <row r="150" ht="15" customHeight="1" s="221">
      <c r="A150" s="301" t="n"/>
      <c r="B150" s="301" t="n"/>
      <c r="C150" s="301" t="n"/>
      <c r="D150" s="301" t="n"/>
      <c r="E150" s="301" t="n"/>
      <c r="F150" s="301" t="n"/>
      <c r="G150" s="301" t="n"/>
      <c r="H150" s="301" t="n"/>
      <c r="I150" s="301" t="n"/>
      <c r="J150" s="301" t="n"/>
    </row>
  </sheetData>
  <mergeCells count="3">
    <mergeCell ref="A104:D104"/>
    <mergeCell ref="A106:C106"/>
    <mergeCell ref="A1:H1"/>
  </mergeCells>
  <dataValidations count="2">
    <dataValidation sqref="B4:B103" showDropDown="0" showInputMessage="0" showErrorMessage="0" allowBlank="1" type="list" errorStyle="stop" operator="between">
      <formula1>"Familiar,NeuroTEA"</formula1>
      <formula2>0</formula2>
    </dataValidation>
    <dataValidation sqref="C4:C103" showDropDown="0" showInputMessage="0" showErrorMessage="0" allowBlank="1" type="list" errorStyle="stop" operator="between">
      <formula1>"Combustible,Supermercado,Farmacia,Recreación,Gastos Varios,Reserva Fam 1,Reserva Fam 2,Reserva Fam 3,Insumos NT,Papelería NT,Mantenimiento NT,Festejos NT,Gastos Cursos NT,Gastos Varios NT,Reserva NT 1,Reserva NT 2,Reserva NT 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tabColor rgb="FF7F8C8D"/>
    <outlinePr summaryBelow="1" summaryRight="1"/>
    <pageSetUpPr fitToPage="0"/>
  </sheetPr>
  <dimension ref="A1:L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24" customWidth="1" style="220" min="1" max="1"/>
    <col width="12" customWidth="1" style="220" min="2" max="2"/>
    <col width="14" customWidth="1" style="220" min="3" max="4"/>
    <col width="2" customWidth="1" style="220" min="5" max="6"/>
    <col width="24" customWidth="1" style="220" min="7" max="7"/>
    <col width="12" customWidth="1" style="220" min="8" max="8"/>
    <col width="14" customWidth="1" style="220" min="9" max="10"/>
  </cols>
  <sheetData>
    <row r="1" ht="34.5" customHeight="1" s="221">
      <c r="A1" s="340" t="inlineStr">
        <is>
          <t>📊 CONTROL FINANCIERO - NOVIEMBRE 2026</t>
        </is>
      </c>
      <c r="K1" s="301" t="n"/>
      <c r="L1" s="301" t="n"/>
    </row>
    <row r="2" ht="15" customHeight="1" s="221">
      <c r="A2" s="301" t="n"/>
      <c r="B2" s="301" t="n"/>
      <c r="C2" s="301" t="n"/>
      <c r="D2" s="301" t="n"/>
      <c r="E2" s="301" t="n"/>
      <c r="F2" s="301" t="n"/>
      <c r="G2" s="301" t="n"/>
      <c r="H2" s="301" t="n"/>
      <c r="I2" s="301" t="n"/>
      <c r="J2" s="301" t="n"/>
      <c r="K2" s="301" t="n"/>
      <c r="L2" s="301" t="n"/>
    </row>
    <row r="3" ht="15" customHeight="1" s="221">
      <c r="A3" s="341" t="inlineStr">
        <is>
          <t>TOTAL INGRESOS</t>
        </is>
      </c>
      <c r="C3" s="301" t="n"/>
      <c r="D3" s="342" t="inlineStr">
        <is>
          <t>GASTOS PAGADOS</t>
        </is>
      </c>
      <c r="F3" s="301" t="n"/>
      <c r="G3" s="343" t="inlineStr">
        <is>
          <t>GASTOS PENDIENTES</t>
        </is>
      </c>
      <c r="I3" s="301" t="n"/>
      <c r="J3" s="344" t="inlineStr">
        <is>
          <t>BALANCE</t>
        </is>
      </c>
      <c r="K3" s="301" t="n"/>
      <c r="L3" s="301" t="n"/>
    </row>
    <row r="4" ht="22.5" customHeight="1" s="221">
      <c r="A4" s="345">
        <f>D26+J12</f>
        <v/>
      </c>
      <c r="C4" s="328" t="n"/>
      <c r="D4" s="346">
        <f>D65+I58</f>
        <v/>
      </c>
      <c r="F4" s="301" t="n"/>
      <c r="G4" s="347">
        <f>D66+I59</f>
        <v/>
      </c>
      <c r="I4" s="301" t="n"/>
      <c r="J4" s="348">
        <f>A4-D4-G4</f>
        <v/>
      </c>
      <c r="K4" s="301" t="n"/>
      <c r="L4" s="301" t="n"/>
    </row>
    <row r="5" ht="15" customHeight="1" s="221">
      <c r="A5" s="301" t="n"/>
      <c r="B5" s="301" t="n"/>
      <c r="C5" s="301" t="n"/>
      <c r="D5" s="301" t="n"/>
      <c r="E5" s="301" t="n"/>
      <c r="F5" s="301" t="n"/>
      <c r="G5" s="301" t="n"/>
      <c r="H5" s="301" t="n"/>
      <c r="I5" s="301" t="n"/>
      <c r="J5" s="301" t="n"/>
      <c r="K5" s="301" t="n"/>
      <c r="L5" s="301" t="n"/>
    </row>
    <row r="6" ht="15.75" customHeight="1" s="221">
      <c r="A6" s="349" t="inlineStr">
        <is>
          <t>⚠️ PRÉSTAMO NT → FAMILIA</t>
        </is>
      </c>
      <c r="D6" s="350">
        <f>SUMIF('Ing-Egr Noviembre 2026'!B4:B103,"Préstamo NT → Familia",'Ing-Egr Noviembre 2026'!F4:F103)-SUMIF('Ing-Egr Noviembre 2026'!B4:B103,"Devolución Familia → NT",'Ing-Egr Noviembre 2026'!E4:E103)</f>
        <v/>
      </c>
      <c r="E6" s="301" t="n"/>
      <c r="F6" s="351" t="inlineStr">
        <is>
          <t>Estado:</t>
        </is>
      </c>
      <c r="G6" s="351">
        <f>IF(D6=0,"🟢 SANO","🔴 FUGA")</f>
        <v/>
      </c>
      <c r="H6" s="301" t="n"/>
      <c r="I6" s="339" t="inlineStr">
        <is>
          <t>(Ideal = 0)</t>
        </is>
      </c>
      <c r="J6" s="301" t="n"/>
      <c r="K6" s="301" t="n"/>
      <c r="L6" s="301" t="n"/>
    </row>
    <row r="7" ht="15" customHeight="1" s="221">
      <c r="A7" s="301" t="n"/>
      <c r="B7" s="301" t="n"/>
      <c r="C7" s="301" t="n"/>
      <c r="D7" s="301" t="n"/>
      <c r="E7" s="301" t="n"/>
      <c r="F7" s="301" t="n"/>
      <c r="G7" s="301" t="n"/>
      <c r="H7" s="301" t="n"/>
      <c r="I7" s="301" t="n"/>
      <c r="J7" s="301" t="n"/>
      <c r="K7" s="301" t="n"/>
      <c r="L7" s="301" t="n"/>
    </row>
    <row r="8" ht="15" customHeight="1" s="221">
      <c r="A8" s="352" t="inlineStr">
        <is>
          <t>💵 INGRESOS FAMILIA</t>
        </is>
      </c>
      <c r="B8" s="256" t="n"/>
      <c r="C8" s="256" t="n"/>
      <c r="D8" s="353" t="n"/>
      <c r="E8" s="354" t="n"/>
      <c r="F8" s="354" t="n"/>
      <c r="G8" s="355" t="inlineStr">
        <is>
          <t>💵 INGRESOS NEUROTEA</t>
        </is>
      </c>
      <c r="H8" s="256" t="n"/>
      <c r="I8" s="256" t="n"/>
      <c r="J8" s="353" t="n"/>
      <c r="K8" s="301" t="n"/>
      <c r="L8" s="301" t="n"/>
    </row>
    <row r="9" ht="15" customHeight="1" s="221">
      <c r="A9" s="356" t="inlineStr">
        <is>
          <t>MARCO ITAIPU</t>
        </is>
      </c>
      <c r="B9" s="353" t="n"/>
      <c r="C9" s="357" t="inlineStr">
        <is>
          <t>Fecha</t>
        </is>
      </c>
      <c r="D9" s="358" t="inlineStr">
        <is>
          <t>Monto</t>
        </is>
      </c>
      <c r="E9" s="359" t="n"/>
      <c r="F9" s="360" t="n"/>
      <c r="G9" s="361" t="inlineStr">
        <is>
          <t>Ingreso del Mes</t>
        </is>
      </c>
      <c r="H9" s="256" t="n"/>
      <c r="I9" s="353" t="n"/>
      <c r="J9" s="362" t="inlineStr">
        <is>
          <t>Monto</t>
        </is>
      </c>
      <c r="K9" s="301" t="n"/>
      <c r="L9" s="301" t="n"/>
    </row>
    <row r="10" ht="15" customHeight="1" s="221">
      <c r="A10" s="363" t="inlineStr">
        <is>
          <t>Salario Mensual</t>
        </is>
      </c>
      <c r="B10" s="364" t="n"/>
      <c r="C10" s="365" t="n"/>
      <c r="D10" s="366">
        <f>SUMIFS('Ing-Egr Noviembre 2026'!E4:E103,'Ing-Egr Noviembre 2026'!B4:B103,"Ingreso Marco",'Ing-Egr Noviembre 2026'!C4:C103,A10)</f>
        <v/>
      </c>
      <c r="E10" s="359" t="n"/>
      <c r="F10" s="360" t="n"/>
      <c r="G10" s="367" t="inlineStr">
        <is>
          <t>(Suma desde pestaña Ing-Egr Noviembre)</t>
        </is>
      </c>
      <c r="H10" s="256" t="n"/>
      <c r="I10" s="353" t="n"/>
      <c r="J10" s="368">
        <f>SUMIF('Ing-Egr Noviembre 2026'!B4:B103,"Ingreso NT",'Ing-Egr Noviembre 2026'!E4:E103)</f>
        <v/>
      </c>
      <c r="K10" s="301" t="n"/>
      <c r="L10" s="301" t="n"/>
    </row>
    <row r="11" ht="15" customHeight="1" s="221">
      <c r="A11" s="369" t="inlineStr">
        <is>
          <t>Vacaciones</t>
        </is>
      </c>
      <c r="B11" s="370" t="n"/>
      <c r="C11" s="371" t="n"/>
      <c r="D11" s="366">
        <f>SUMIFS('Ing-Egr Noviembre 2026'!E4:E103,'Ing-Egr Noviembre 2026'!B4:B103,"Ingreso Marco",'Ing-Egr Noviembre 2026'!C4:C103,A11)</f>
        <v/>
      </c>
      <c r="E11" s="359" t="n"/>
      <c r="F11" s="360" t="n"/>
      <c r="G11" s="359" t="n"/>
      <c r="H11" s="301" t="n"/>
      <c r="I11" s="301" t="n"/>
      <c r="J11" s="301" t="n"/>
      <c r="K11" s="301" t="n"/>
      <c r="L11" s="301" t="n"/>
    </row>
    <row r="12" ht="15" customHeight="1" s="221">
      <c r="A12" s="363" t="inlineStr">
        <is>
          <t>Aguinaldo</t>
        </is>
      </c>
      <c r="B12" s="364" t="n"/>
      <c r="C12" s="365" t="n"/>
      <c r="D12" s="366">
        <f>SUMIFS('Ing-Egr Noviembre 2026'!E4:E103,'Ing-Egr Noviembre 2026'!B4:B103,"Ingreso Marco",'Ing-Egr Noviembre 2026'!C4:C103,A12)</f>
        <v/>
      </c>
      <c r="E12" s="359" t="n"/>
      <c r="F12" s="360" t="n"/>
      <c r="G12" s="372" t="inlineStr">
        <is>
          <t>═══ TOTAL INGRESOS NT ═══</t>
        </is>
      </c>
      <c r="H12" s="256" t="n"/>
      <c r="I12" s="353" t="n"/>
      <c r="J12" s="373">
        <f>J10</f>
        <v/>
      </c>
      <c r="K12" s="301" t="n"/>
      <c r="L12" s="301" t="n"/>
    </row>
    <row r="13" ht="15" customHeight="1" s="221">
      <c r="A13" s="369" t="inlineStr">
        <is>
          <t>Viático</t>
        </is>
      </c>
      <c r="B13" s="370" t="n"/>
      <c r="C13" s="371" t="n"/>
      <c r="D13" s="366">
        <f>SUMIFS('Ing-Egr Noviembre 2026'!E4:E103,'Ing-Egr Noviembre 2026'!B4:B103,"Ingreso Marco",'Ing-Egr Noviembre 2026'!C4:C103,A13)</f>
        <v/>
      </c>
      <c r="E13" s="359" t="n"/>
      <c r="F13" s="360" t="n"/>
      <c r="G13" s="359" t="n"/>
      <c r="H13" s="301" t="n"/>
      <c r="I13" s="301" t="n"/>
      <c r="J13" s="301" t="n"/>
      <c r="K13" s="301" t="n"/>
      <c r="L13" s="301" t="n"/>
    </row>
    <row r="14" ht="15" customHeight="1" s="221">
      <c r="A14" s="363" t="inlineStr">
        <is>
          <t>Animador Bíblico</t>
        </is>
      </c>
      <c r="B14" s="364" t="n"/>
      <c r="C14" s="365" t="n"/>
      <c r="D14" s="366">
        <f>SUMIFS('Ing-Egr Noviembre 2026'!E4:E103,'Ing-Egr Noviembre 2026'!B4:B103,"Ingreso Marco",'Ing-Egr Noviembre 2026'!C4:C103,A14)</f>
        <v/>
      </c>
      <c r="E14" s="359" t="n"/>
      <c r="F14" s="360" t="n"/>
      <c r="G14" s="359" t="n"/>
      <c r="H14" s="301" t="n"/>
      <c r="I14" s="301" t="n"/>
      <c r="J14" s="301" t="n"/>
      <c r="K14" s="301" t="n"/>
      <c r="L14" s="301" t="n"/>
    </row>
    <row r="15" ht="15" customHeight="1" s="221">
      <c r="A15" s="369" t="inlineStr">
        <is>
          <t>Otros Ocasionales</t>
        </is>
      </c>
      <c r="B15" s="370" t="n"/>
      <c r="C15" s="371" t="n"/>
      <c r="D15" s="366">
        <f>SUMIFS('Ing-Egr Noviembre 2026'!E4:E103,'Ing-Egr Noviembre 2026'!B4:B103,"Ingreso Marco",'Ing-Egr Noviembre 2026'!C4:C103,A15)</f>
        <v/>
      </c>
      <c r="E15" s="359" t="n"/>
      <c r="F15" s="360" t="n"/>
      <c r="G15" s="359" t="n"/>
      <c r="H15" s="301" t="n"/>
      <c r="I15" s="374">
        <f>J12</f>
        <v/>
      </c>
      <c r="J15" s="301" t="n"/>
      <c r="K15" s="301" t="n"/>
      <c r="L15" s="301" t="n"/>
    </row>
    <row r="16" ht="15" customHeight="1" s="221">
      <c r="A16" s="375" t="inlineStr">
        <is>
          <t>TOTAL MARCO</t>
        </is>
      </c>
      <c r="B16" s="360" t="n"/>
      <c r="C16" s="359" t="n"/>
      <c r="D16" s="376">
        <f>SUM(D10:D15)</f>
        <v/>
      </c>
      <c r="E16" s="359" t="n"/>
      <c r="F16" s="360" t="n"/>
      <c r="G16" s="359" t="n"/>
      <c r="H16" s="301" t="n"/>
      <c r="I16" s="301" t="n"/>
      <c r="J16" s="301" t="n"/>
      <c r="K16" s="301" t="n"/>
      <c r="L16" s="301" t="n"/>
    </row>
    <row r="17" ht="15" customHeight="1" s="221">
      <c r="A17" s="377" t="inlineStr">
        <is>
          <t>CLARA</t>
        </is>
      </c>
      <c r="B17" s="353" t="n"/>
      <c r="C17" s="378" t="inlineStr">
        <is>
          <t>Fecha</t>
        </is>
      </c>
      <c r="D17" s="379" t="inlineStr">
        <is>
          <t>Monto</t>
        </is>
      </c>
      <c r="E17" s="359" t="n"/>
      <c r="F17" s="360" t="n"/>
      <c r="G17" s="359" t="n"/>
      <c r="H17" s="301" t="n"/>
      <c r="I17" s="301" t="n"/>
      <c r="J17" s="301" t="n"/>
      <c r="K17" s="301" t="n"/>
      <c r="L17" s="301" t="n"/>
    </row>
    <row r="18" ht="15" customHeight="1" s="221">
      <c r="A18" s="380" t="inlineStr">
        <is>
          <t>Honorarios Diarios</t>
        </is>
      </c>
      <c r="B18" s="381" t="n"/>
      <c r="C18" s="382" t="n"/>
      <c r="D18" s="383">
        <f>SUMIF('Ing-Egr Noviembre 2026'!B4:B103,"Ingreso Clara",'Ing-Egr Noviembre 2026'!E4:E103)</f>
        <v/>
      </c>
      <c r="E18" s="359" t="n"/>
      <c r="F18" s="360" t="n"/>
      <c r="G18" s="359" t="n"/>
      <c r="H18" s="301" t="n"/>
      <c r="I18" s="301" t="n"/>
      <c r="J18" s="301" t="n"/>
      <c r="K18" s="301" t="n"/>
      <c r="L18" s="301" t="n"/>
    </row>
    <row r="19" ht="15" customHeight="1" s="221">
      <c r="A19" s="384" t="inlineStr">
        <is>
          <t>TOTAL CLARA</t>
        </is>
      </c>
      <c r="B19" s="301" t="n"/>
      <c r="C19" s="301" t="n"/>
      <c r="D19" s="385">
        <f>D18</f>
        <v/>
      </c>
      <c r="E19" s="359" t="n"/>
      <c r="F19" s="360" t="n"/>
      <c r="G19" s="359" t="n"/>
      <c r="H19" s="301" t="n"/>
      <c r="I19" s="301" t="n"/>
      <c r="J19" s="301" t="n"/>
      <c r="K19" s="301" t="n"/>
      <c r="L19" s="301" t="n"/>
    </row>
    <row r="20" ht="15" customHeight="1" s="221">
      <c r="A20" s="386" t="inlineStr">
        <is>
          <t>DESDE NEUROTEA</t>
        </is>
      </c>
      <c r="D20" s="387" t="inlineStr">
        <is>
          <t>Monto</t>
        </is>
      </c>
      <c r="E20" s="359" t="n"/>
      <c r="F20" s="360" t="n"/>
      <c r="G20" s="359" t="n"/>
      <c r="H20" s="301" t="n"/>
      <c r="I20" s="301" t="n"/>
      <c r="J20" s="301" t="n"/>
      <c r="K20" s="301" t="n"/>
      <c r="L20" s="301" t="n"/>
    </row>
    <row r="21" ht="15" customHeight="1" s="221">
      <c r="A21" s="388" t="inlineStr">
        <is>
          <t>Salario Admin Marco</t>
        </is>
      </c>
      <c r="B21" s="388" t="n"/>
      <c r="C21" s="388" t="n"/>
      <c r="D21" s="389" t="n">
        <v>0</v>
      </c>
      <c r="E21" s="359" t="n"/>
      <c r="F21" s="360" t="n"/>
      <c r="G21" s="359" t="n"/>
      <c r="H21" s="301" t="n"/>
      <c r="I21" s="301" t="n"/>
      <c r="J21" s="301" t="n"/>
      <c r="K21" s="301" t="n"/>
      <c r="L21" s="301" t="n"/>
    </row>
    <row r="22" ht="15" customHeight="1" s="221">
      <c r="A22" s="390" t="inlineStr">
        <is>
          <t>Ganancia NT → Familia</t>
        </is>
      </c>
      <c r="B22" s="390" t="n"/>
      <c r="C22" s="390" t="n"/>
      <c r="D22" s="391" t="n">
        <v>0</v>
      </c>
      <c r="E22" s="359" t="n"/>
      <c r="F22" s="360" t="n"/>
      <c r="G22" s="359" t="n"/>
      <c r="H22" s="301" t="n"/>
      <c r="I22" s="301" t="n"/>
      <c r="J22" s="301" t="n"/>
      <c r="K22" s="301" t="n"/>
      <c r="L22" s="301" t="n"/>
    </row>
    <row r="23" ht="15" customHeight="1" s="221">
      <c r="A23" s="388" t="inlineStr">
        <is>
          <t>Préstamo NT (automático)</t>
        </is>
      </c>
      <c r="B23" s="388" t="n"/>
      <c r="C23" s="388" t="n"/>
      <c r="D23" s="389">
        <f>D6</f>
        <v/>
      </c>
      <c r="E23" s="359" t="n"/>
      <c r="F23" s="360" t="n"/>
      <c r="G23" s="359" t="n"/>
      <c r="H23" s="301" t="n"/>
      <c r="I23" s="301" t="n"/>
      <c r="J23" s="301" t="n"/>
      <c r="K23" s="301" t="n"/>
      <c r="L23" s="301" t="n"/>
    </row>
    <row r="24" ht="15" customHeight="1" s="221">
      <c r="A24" s="392" t="inlineStr">
        <is>
          <t>TOTAL DESDE NT</t>
        </is>
      </c>
      <c r="B24" s="301" t="n"/>
      <c r="C24" s="301" t="n"/>
      <c r="D24" s="393">
        <f>SUM(D21:D23)</f>
        <v/>
      </c>
      <c r="E24" s="359" t="n"/>
      <c r="F24" s="360" t="n"/>
      <c r="G24" s="359" t="n"/>
      <c r="H24" s="301" t="n"/>
      <c r="I24" s="301" t="n"/>
      <c r="J24" s="301" t="n"/>
      <c r="K24" s="301" t="n"/>
      <c r="L24" s="301" t="n"/>
    </row>
    <row r="25" ht="15" customHeight="1" s="221">
      <c r="A25" s="301" t="n"/>
      <c r="B25" s="301" t="n"/>
      <c r="C25" s="301" t="n"/>
      <c r="D25" s="360" t="n"/>
      <c r="E25" s="359" t="n"/>
      <c r="F25" s="360" t="n"/>
      <c r="G25" s="359" t="n"/>
      <c r="H25" s="301" t="n"/>
      <c r="I25" s="301" t="n"/>
      <c r="J25" s="301" t="n"/>
      <c r="K25" s="301" t="n"/>
      <c r="L25" s="301" t="n"/>
    </row>
    <row r="26" ht="15" customHeight="1" s="221">
      <c r="A26" s="223" t="inlineStr">
        <is>
          <t>═══ TOTAL INGRESOS FAMILIA ═══</t>
        </is>
      </c>
      <c r="D26" s="394">
        <f>D16+D19+D24</f>
        <v/>
      </c>
      <c r="E26" s="359" t="n"/>
      <c r="F26" s="360" t="n"/>
      <c r="G26" s="359" t="n"/>
      <c r="H26" s="301" t="n"/>
      <c r="I26" s="301" t="n"/>
      <c r="J26" s="301" t="n"/>
      <c r="K26" s="301" t="n"/>
      <c r="L26" s="301" t="n"/>
    </row>
    <row r="27" ht="15" customHeight="1" s="221">
      <c r="A27" s="301" t="n"/>
      <c r="B27" s="301" t="n"/>
      <c r="C27" s="301" t="n"/>
      <c r="D27" s="360" t="n"/>
      <c r="E27" s="359" t="n"/>
      <c r="F27" s="360" t="n"/>
      <c r="G27" s="359" t="n"/>
      <c r="H27" s="301" t="n"/>
      <c r="I27" s="301" t="n"/>
      <c r="J27" s="301" t="n"/>
      <c r="K27" s="301" t="n"/>
      <c r="L27" s="301" t="n"/>
    </row>
    <row r="28" ht="15.75" customHeight="1" s="221">
      <c r="A28" s="395" t="inlineStr">
        <is>
          <t>📉 GASTOS FAMILIARES</t>
        </is>
      </c>
      <c r="E28" s="328" t="n"/>
      <c r="F28" s="301" t="n"/>
      <c r="G28" s="396" t="inlineStr">
        <is>
          <t>📉 GASTOS NEUROTEA</t>
        </is>
      </c>
      <c r="K28" s="301" t="n"/>
      <c r="L28" s="301" t="n"/>
    </row>
    <row r="29" ht="15" customHeight="1" s="221">
      <c r="A29" s="397" t="inlineStr">
        <is>
          <t>Detalle</t>
        </is>
      </c>
      <c r="B29" s="397" t="inlineStr">
        <is>
          <t>Estado</t>
        </is>
      </c>
      <c r="C29" s="397" t="inlineStr">
        <is>
          <t>Monto</t>
        </is>
      </c>
      <c r="D29" s="397" t="inlineStr">
        <is>
          <t>Venc.</t>
        </is>
      </c>
      <c r="E29" s="301" t="n"/>
      <c r="F29" s="301" t="n"/>
      <c r="G29" s="398" t="inlineStr">
        <is>
          <t>Detalle</t>
        </is>
      </c>
      <c r="H29" s="398" t="inlineStr">
        <is>
          <t>Estado</t>
        </is>
      </c>
      <c r="I29" s="398" t="inlineStr">
        <is>
          <t>Monto</t>
        </is>
      </c>
      <c r="J29" s="398" t="inlineStr">
        <is>
          <t>Venc.</t>
        </is>
      </c>
      <c r="K29" s="301" t="n"/>
      <c r="L29" s="301" t="n"/>
    </row>
    <row r="30" ht="15.75" customHeight="1" s="221">
      <c r="A30" s="399" t="inlineStr">
        <is>
          <t>► GASTOS FIJOS ✏️</t>
        </is>
      </c>
      <c r="E30" s="301" t="n"/>
      <c r="F30" s="301" t="n"/>
      <c r="G30" s="400" t="inlineStr">
        <is>
          <t>► GASTOS FIJOS ✏️</t>
        </is>
      </c>
      <c r="K30" s="301" t="n"/>
      <c r="L30" s="301" t="n"/>
    </row>
    <row r="31" ht="15" customHeight="1" s="221">
      <c r="A31" s="401" t="inlineStr">
        <is>
          <t>Salario Lili Doméstico</t>
        </is>
      </c>
      <c r="B31" s="401" t="inlineStr">
        <is>
          <t>Ninguno</t>
        </is>
      </c>
      <c r="C31" s="402" t="n"/>
      <c r="D31" s="458" t="n"/>
      <c r="E31" s="301" t="n"/>
      <c r="F31" s="301" t="n"/>
      <c r="G31" s="403" t="inlineStr">
        <is>
          <t>Alquiler 1 (Principal)</t>
        </is>
      </c>
      <c r="H31" s="403" t="inlineStr">
        <is>
          <t>Ninguno</t>
        </is>
      </c>
      <c r="I31" s="404" t="n">
        <v>0</v>
      </c>
      <c r="J31" s="459" t="n"/>
      <c r="K31" s="301" t="n"/>
      <c r="L31" s="301" t="n"/>
    </row>
    <row r="32" ht="15" customHeight="1" s="221">
      <c r="A32" s="405" t="inlineStr">
        <is>
          <t>Salario Laura Doméstico</t>
        </is>
      </c>
      <c r="B32" s="405" t="inlineStr">
        <is>
          <t>Ninguno</t>
        </is>
      </c>
      <c r="C32" s="406" t="n"/>
      <c r="D32" s="460" t="n"/>
      <c r="E32" s="301" t="n"/>
      <c r="F32" s="301" t="n"/>
      <c r="G32" s="407" t="inlineStr">
        <is>
          <t>Alquiler 2 (Secundario)</t>
        </is>
      </c>
      <c r="H32" s="407" t="inlineStr">
        <is>
          <t>Ninguno</t>
        </is>
      </c>
      <c r="I32" s="408" t="n">
        <v>0</v>
      </c>
      <c r="J32" s="461" t="n"/>
      <c r="K32" s="301" t="n"/>
      <c r="L32" s="301" t="n"/>
    </row>
    <row r="33" ht="15" customHeight="1" s="221">
      <c r="A33" s="401" t="inlineStr">
        <is>
          <t>Escuela Fabián y Brenda</t>
        </is>
      </c>
      <c r="B33" s="401" t="inlineStr">
        <is>
          <t>Ninguno</t>
        </is>
      </c>
      <c r="C33" s="402" t="n"/>
      <c r="D33" s="458" t="n"/>
      <c r="E33" s="301" t="n"/>
      <c r="F33" s="301" t="n"/>
      <c r="G33" s="403" t="inlineStr">
        <is>
          <t>Limpieza NeuroTEA</t>
        </is>
      </c>
      <c r="H33" s="403" t="inlineStr">
        <is>
          <t>Ninguno</t>
        </is>
      </c>
      <c r="I33" s="404" t="n">
        <v>0</v>
      </c>
      <c r="J33" s="459" t="n"/>
      <c r="K33" s="301" t="n"/>
      <c r="L33" s="301" t="n"/>
    </row>
    <row r="34" ht="15" customHeight="1" s="221">
      <c r="A34" s="405" t="inlineStr">
        <is>
          <t>Robótica Niños</t>
        </is>
      </c>
      <c r="B34" s="405" t="inlineStr">
        <is>
          <t>Ninguno</t>
        </is>
      </c>
      <c r="C34" s="406" t="n"/>
      <c r="D34" s="460" t="n"/>
      <c r="E34" s="301" t="n"/>
      <c r="F34" s="301" t="n"/>
      <c r="G34" s="400" t="inlineStr">
        <is>
          <t>► SUELDOS Y HONORARIOS ✏️</t>
        </is>
      </c>
      <c r="K34" s="301" t="n"/>
      <c r="L34" s="301" t="n"/>
    </row>
    <row r="35" ht="15" customHeight="1" s="221">
      <c r="A35" s="410" t="inlineStr">
        <is>
          <t>ANDE Casa</t>
        </is>
      </c>
      <c r="B35" s="410" t="inlineStr">
        <is>
          <t>Ninguno</t>
        </is>
      </c>
      <c r="C35" s="411" t="n"/>
      <c r="D35" s="463" t="n"/>
      <c r="E35" s="301" t="n"/>
      <c r="F35" s="301" t="n"/>
      <c r="G35" s="403" t="inlineStr">
        <is>
          <t>Sueldo Aracely</t>
        </is>
      </c>
      <c r="H35" s="403" t="inlineStr">
        <is>
          <t>Ninguno</t>
        </is>
      </c>
      <c r="I35" s="404" t="n">
        <v>0</v>
      </c>
      <c r="J35" s="459" t="n"/>
      <c r="K35" s="301" t="n"/>
      <c r="L35" s="301" t="n"/>
    </row>
    <row r="36" ht="15" customHeight="1" s="221">
      <c r="A36" s="405" t="inlineStr">
        <is>
          <t>Expensa Casa</t>
        </is>
      </c>
      <c r="B36" s="405" t="inlineStr">
        <is>
          <t>Ninguno</t>
        </is>
      </c>
      <c r="C36" s="406" t="n"/>
      <c r="D36" s="460" t="n"/>
      <c r="E36" s="301" t="n"/>
      <c r="F36" s="301" t="n"/>
      <c r="G36" s="407" t="inlineStr">
        <is>
          <t>Sueldo Fátima</t>
        </is>
      </c>
      <c r="H36" s="407" t="inlineStr">
        <is>
          <t>Ninguno</t>
        </is>
      </c>
      <c r="I36" s="408" t="n">
        <v>0</v>
      </c>
      <c r="J36" s="461" t="n"/>
      <c r="K36" s="301" t="n"/>
      <c r="L36" s="301" t="n"/>
    </row>
    <row r="37" ht="15" customHeight="1" s="221">
      <c r="A37" s="410" t="inlineStr">
        <is>
          <t>Cajubi Marco</t>
        </is>
      </c>
      <c r="B37" s="410" t="inlineStr">
        <is>
          <t>Ninguno</t>
        </is>
      </c>
      <c r="C37" s="411" t="n"/>
      <c r="D37" s="463" t="n"/>
      <c r="E37" s="301" t="n"/>
      <c r="F37" s="301" t="n"/>
      <c r="G37" s="403" t="inlineStr">
        <is>
          <t>Honorario Contador</t>
        </is>
      </c>
      <c r="H37" s="403" t="inlineStr">
        <is>
          <t>Ninguno</t>
        </is>
      </c>
      <c r="I37" s="404" t="n">
        <v>0</v>
      </c>
      <c r="J37" s="459" t="n"/>
      <c r="K37" s="301" t="n"/>
      <c r="L37" s="301" t="n"/>
    </row>
    <row r="38" ht="15" customHeight="1" s="221">
      <c r="A38" s="405" t="inlineStr">
        <is>
          <t>Mutual Marco</t>
        </is>
      </c>
      <c r="B38" s="405" t="inlineStr">
        <is>
          <t>Ninguno</t>
        </is>
      </c>
      <c r="C38" s="406" t="n"/>
      <c r="D38" s="460" t="n"/>
      <c r="E38" s="301" t="n"/>
      <c r="F38" s="301" t="n"/>
      <c r="G38" s="407" t="inlineStr">
        <is>
          <t>Salario Administrador</t>
        </is>
      </c>
      <c r="H38" s="407" t="inlineStr">
        <is>
          <t>Ninguno</t>
        </is>
      </c>
      <c r="I38" s="408" t="n">
        <v>0</v>
      </c>
      <c r="J38" s="461" t="n"/>
      <c r="K38" s="301" t="n"/>
      <c r="L38" s="301" t="n"/>
    </row>
    <row r="39" ht="15" customHeight="1" s="221">
      <c r="A39" s="410" t="inlineStr">
        <is>
          <t>Ña Luisa</t>
        </is>
      </c>
      <c r="B39" s="410" t="inlineStr">
        <is>
          <t>Ninguno</t>
        </is>
      </c>
      <c r="C39" s="411" t="n"/>
      <c r="D39" s="463" t="n"/>
      <c r="E39" s="301" t="n"/>
      <c r="F39" s="301" t="n"/>
      <c r="G39" s="403" t="inlineStr">
        <is>
          <t>Honorario Mant. Sistema</t>
        </is>
      </c>
      <c r="H39" s="403" t="inlineStr">
        <is>
          <t>Ninguno</t>
        </is>
      </c>
      <c r="I39" s="404" t="n">
        <v>0</v>
      </c>
      <c r="J39" s="459" t="n"/>
      <c r="K39" s="301" t="n"/>
      <c r="L39" s="301" t="n"/>
    </row>
    <row r="40" ht="15" customHeight="1" s="221">
      <c r="A40" s="405" t="inlineStr">
        <is>
          <t>Seguro Médico Papá y Mamá</t>
        </is>
      </c>
      <c r="B40" s="405" t="inlineStr">
        <is>
          <t>Ninguno</t>
        </is>
      </c>
      <c r="C40" s="406" t="n"/>
      <c r="D40" s="460" t="n"/>
      <c r="E40" s="301" t="n"/>
      <c r="F40" s="301" t="n"/>
      <c r="G40" s="400" t="inlineStr">
        <is>
          <t>► TELEFONÍA E INTERNET ✏️</t>
        </is>
      </c>
      <c r="K40" s="301" t="n"/>
      <c r="L40" s="301" t="n"/>
    </row>
    <row r="41" ht="15" customHeight="1" s="221">
      <c r="A41" s="413" t="inlineStr">
        <is>
          <t>► CUOTAS Y PRÉSTAMOS ✏️</t>
        </is>
      </c>
      <c r="B41" s="256" t="n"/>
      <c r="C41" s="256" t="n"/>
      <c r="D41" s="353" t="n"/>
      <c r="E41" s="301" t="n"/>
      <c r="F41" s="301" t="n"/>
      <c r="G41" s="403" t="inlineStr">
        <is>
          <t>Celular Tigo NeuroTEA</t>
        </is>
      </c>
      <c r="H41" s="403" t="inlineStr">
        <is>
          <t>Ninguno</t>
        </is>
      </c>
      <c r="I41" s="404" t="n">
        <v>0</v>
      </c>
      <c r="J41" s="459" t="n"/>
      <c r="K41" s="301" t="n"/>
      <c r="L41" s="301" t="n"/>
    </row>
    <row r="42" ht="15" customHeight="1" s="221">
      <c r="A42" s="410" t="inlineStr">
        <is>
          <t>Auto Laura Cuota</t>
        </is>
      </c>
      <c r="B42" s="410" t="inlineStr">
        <is>
          <t>Ninguno</t>
        </is>
      </c>
      <c r="C42" s="411" t="n"/>
      <c r="D42" s="463" t="n"/>
      <c r="E42" s="301" t="n"/>
      <c r="F42" s="301" t="n"/>
      <c r="G42" s="407" t="inlineStr">
        <is>
          <t>Celular Tigo Sistema</t>
        </is>
      </c>
      <c r="H42" s="407" t="inlineStr">
        <is>
          <t>Ninguno</t>
        </is>
      </c>
      <c r="I42" s="408" t="n">
        <v>0</v>
      </c>
      <c r="J42" s="461" t="n"/>
      <c r="K42" s="301" t="n"/>
      <c r="L42" s="301" t="n"/>
    </row>
    <row r="43" ht="15" customHeight="1" s="221">
      <c r="A43" s="405" t="inlineStr">
        <is>
          <t>Coop. Universitaria Clara</t>
        </is>
      </c>
      <c r="B43" s="405" t="inlineStr">
        <is>
          <t>Ninguno</t>
        </is>
      </c>
      <c r="C43" s="406" t="n"/>
      <c r="D43" s="460" t="n"/>
      <c r="E43" s="301" t="n"/>
      <c r="F43" s="301" t="n"/>
      <c r="G43" s="403" t="inlineStr">
        <is>
          <t>WhatsFlow</t>
        </is>
      </c>
      <c r="H43" s="403" t="inlineStr">
        <is>
          <t>Ninguno</t>
        </is>
      </c>
      <c r="I43" s="404" t="n">
        <v>0</v>
      </c>
      <c r="J43" s="459" t="n"/>
      <c r="K43" s="301" t="n"/>
      <c r="L43" s="301" t="n"/>
    </row>
    <row r="44" ht="15" customHeight="1" s="221">
      <c r="A44" s="410" t="inlineStr">
        <is>
          <t>Coomecipar Clara</t>
        </is>
      </c>
      <c r="B44" s="410" t="inlineStr">
        <is>
          <t>Ninguno</t>
        </is>
      </c>
      <c r="C44" s="411" t="n"/>
      <c r="D44" s="463" t="n"/>
      <c r="E44" s="301" t="n"/>
      <c r="F44" s="301" t="n"/>
      <c r="G44" s="407" t="inlineStr">
        <is>
          <t>Internet NeuroTEA</t>
        </is>
      </c>
      <c r="H44" s="407" t="inlineStr">
        <is>
          <t>Ninguno</t>
        </is>
      </c>
      <c r="I44" s="408" t="n">
        <v>0</v>
      </c>
      <c r="J44" s="461" t="n"/>
      <c r="K44" s="301" t="n"/>
      <c r="L44" s="301" t="n"/>
    </row>
    <row r="45" ht="15" customHeight="1" s="221">
      <c r="A45" s="414" t="inlineStr">
        <is>
          <t>Tarjeta Cred. Coomecipar</t>
        </is>
      </c>
      <c r="B45" s="414" t="inlineStr">
        <is>
          <t>Ninguno</t>
        </is>
      </c>
      <c r="C45" s="415" t="n"/>
      <c r="D45" s="465" t="n"/>
      <c r="E45" s="301" t="n"/>
      <c r="F45" s="301" t="n"/>
      <c r="G45" s="400" t="inlineStr">
        <is>
          <t>► IMPUESTOS ✏️</t>
        </is>
      </c>
      <c r="K45" s="301" t="n"/>
      <c r="L45" s="301" t="n"/>
    </row>
    <row r="46" ht="15" customHeight="1" s="221">
      <c r="A46" s="401" t="inlineStr">
        <is>
          <t>Solar Préstamo 1</t>
        </is>
      </c>
      <c r="B46" s="401" t="inlineStr">
        <is>
          <t>Ninguno</t>
        </is>
      </c>
      <c r="C46" s="402" t="n"/>
      <c r="D46" s="458" t="n"/>
      <c r="E46" s="301" t="n"/>
      <c r="F46" s="301" t="n"/>
      <c r="G46" s="403" t="inlineStr">
        <is>
          <t>IVA</t>
        </is>
      </c>
      <c r="H46" s="403" t="inlineStr">
        <is>
          <t>Ninguno</t>
        </is>
      </c>
      <c r="I46" s="404" t="n">
        <v>0</v>
      </c>
      <c r="J46" s="459" t="n"/>
      <c r="K46" s="301" t="n"/>
      <c r="L46" s="301" t="n"/>
    </row>
    <row r="47" ht="15" customHeight="1" s="221">
      <c r="A47" s="405" t="inlineStr">
        <is>
          <t>Solar Préstamo 2</t>
        </is>
      </c>
      <c r="B47" s="405" t="inlineStr">
        <is>
          <t>Ninguno</t>
        </is>
      </c>
      <c r="C47" s="406" t="n"/>
      <c r="D47" s="460" t="n"/>
      <c r="E47" s="301" t="n"/>
      <c r="F47" s="301" t="n"/>
      <c r="G47" s="400" t="inlineStr">
        <is>
          <t>► EVENTOS NT ✏️</t>
        </is>
      </c>
      <c r="K47" s="301" t="n"/>
      <c r="L47" s="301" t="n"/>
    </row>
    <row r="48" ht="15" customHeight="1" s="221">
      <c r="A48" s="410" t="inlineStr">
        <is>
          <t>Préstamo Lizzi Sueldos</t>
        </is>
      </c>
      <c r="B48" s="410" t="inlineStr">
        <is>
          <t>Ninguno</t>
        </is>
      </c>
      <c r="C48" s="411" t="n"/>
      <c r="D48" s="463" t="n"/>
      <c r="E48" s="301" t="n"/>
      <c r="F48" s="301" t="n"/>
      <c r="G48" s="403" t="inlineStr">
        <is>
          <t>Día del Niño NT</t>
        </is>
      </c>
      <c r="H48" s="403" t="inlineStr">
        <is>
          <t>Ninguno</t>
        </is>
      </c>
      <c r="I48" s="404" t="n">
        <v>0</v>
      </c>
      <c r="J48" s="459" t="n"/>
      <c r="K48" s="301" t="n"/>
      <c r="L48" s="301" t="n"/>
    </row>
    <row r="49" ht="15" customHeight="1" s="221">
      <c r="A49" s="405" t="inlineStr">
        <is>
          <t>Show Congelador</t>
        </is>
      </c>
      <c r="B49" s="405" t="inlineStr">
        <is>
          <t>Ninguno</t>
        </is>
      </c>
      <c r="C49" s="406" t="n"/>
      <c r="D49" s="460" t="n"/>
      <c r="E49" s="301" t="n"/>
      <c r="F49" s="301" t="n"/>
      <c r="G49" s="407" t="inlineStr">
        <is>
          <t>San Juan NT</t>
        </is>
      </c>
      <c r="H49" s="407" t="inlineStr">
        <is>
          <t>Ninguno</t>
        </is>
      </c>
      <c r="I49" s="408" t="n">
        <v>0</v>
      </c>
      <c r="J49" s="461" t="n"/>
      <c r="K49" s="301" t="n"/>
      <c r="L49" s="301" t="n"/>
    </row>
    <row r="50" ht="15" customHeight="1" s="221">
      <c r="A50" s="410" t="inlineStr">
        <is>
          <t>Olier Heladera</t>
        </is>
      </c>
      <c r="B50" s="410" t="inlineStr">
        <is>
          <t>Ninguno</t>
        </is>
      </c>
      <c r="C50" s="411" t="n"/>
      <c r="D50" s="463" t="n"/>
      <c r="E50" s="301" t="n"/>
      <c r="F50" s="301" t="n"/>
      <c r="G50" s="403" t="inlineStr">
        <is>
          <t>Día del Autismo NT</t>
        </is>
      </c>
      <c r="H50" s="403" t="inlineStr">
        <is>
          <t>Ninguno</t>
        </is>
      </c>
      <c r="I50" s="404" t="n">
        <v>0</v>
      </c>
      <c r="J50" s="459" t="n"/>
      <c r="K50" s="301" t="n"/>
      <c r="L50" s="301" t="n"/>
    </row>
    <row r="51" ht="15" customHeight="1" s="221">
      <c r="A51" s="413" t="inlineStr">
        <is>
          <t>► SUSCRIPCIONES E INTERNET ✏️</t>
        </is>
      </c>
      <c r="B51" s="256" t="n"/>
      <c r="C51" s="256" t="n"/>
      <c r="D51" s="353" t="n"/>
      <c r="E51" s="301" t="n"/>
      <c r="F51" s="301" t="n"/>
      <c r="G51" s="407" t="inlineStr">
        <is>
          <t>Clausura Padres NT</t>
        </is>
      </c>
      <c r="H51" s="407" t="inlineStr">
        <is>
          <t>Ninguno</t>
        </is>
      </c>
      <c r="I51" s="408" t="n">
        <v>0</v>
      </c>
      <c r="J51" s="461" t="n"/>
      <c r="K51" s="301" t="n"/>
      <c r="L51" s="301" t="n"/>
    </row>
    <row r="52" ht="15" customHeight="1" s="221">
      <c r="A52" s="410" t="inlineStr">
        <is>
          <t>Giganet</t>
        </is>
      </c>
      <c r="B52" s="410" t="inlineStr">
        <is>
          <t>Ninguno</t>
        </is>
      </c>
      <c r="C52" s="411" t="n"/>
      <c r="D52" s="463" t="n"/>
      <c r="E52" s="301" t="n"/>
      <c r="F52" s="301" t="n"/>
      <c r="G52" s="403" t="inlineStr">
        <is>
          <t>Navidad Papá Noel NT</t>
        </is>
      </c>
      <c r="H52" s="403" t="inlineStr">
        <is>
          <t>Ninguno</t>
        </is>
      </c>
      <c r="I52" s="404" t="n">
        <v>0</v>
      </c>
      <c r="J52" s="459" t="n"/>
      <c r="K52" s="301" t="n"/>
      <c r="L52" s="301" t="n"/>
    </row>
    <row r="53" ht="15" customHeight="1" s="221">
      <c r="A53" s="405" t="inlineStr">
        <is>
          <t>Tigo Internet/Celulares</t>
        </is>
      </c>
      <c r="B53" s="405" t="inlineStr">
        <is>
          <t>Ninguno</t>
        </is>
      </c>
      <c r="C53" s="406" t="n"/>
      <c r="D53" s="460" t="n"/>
      <c r="E53" s="301" t="n"/>
      <c r="F53" s="301" t="n"/>
      <c r="G53" s="407" t="inlineStr">
        <is>
          <t>Cena Fin de Año NT</t>
        </is>
      </c>
      <c r="H53" s="407" t="inlineStr">
        <is>
          <t>Ninguno</t>
        </is>
      </c>
      <c r="I53" s="408" t="n">
        <v>0</v>
      </c>
      <c r="J53" s="461" t="n"/>
      <c r="K53" s="301" t="n"/>
      <c r="L53" s="301" t="n"/>
    </row>
    <row r="54" ht="15" customHeight="1" s="221">
      <c r="A54" s="410" t="inlineStr">
        <is>
          <t>Tigo Familiar</t>
        </is>
      </c>
      <c r="B54" s="410" t="inlineStr">
        <is>
          <t>Ninguno</t>
        </is>
      </c>
      <c r="C54" s="411" t="n"/>
      <c r="D54" s="463" t="n"/>
      <c r="E54" s="301" t="n"/>
      <c r="F54" s="301" t="n"/>
      <c r="G54" s="400" t="inlineStr">
        <is>
          <t>► GASTOS VARIABLES NT 🔗</t>
        </is>
      </c>
      <c r="K54" s="301" t="n"/>
      <c r="L54" s="301" t="n"/>
    </row>
    <row r="55" ht="15" customHeight="1" s="221">
      <c r="A55" s="405" t="inlineStr">
        <is>
          <t>Google One</t>
        </is>
      </c>
      <c r="B55" s="405" t="inlineStr">
        <is>
          <t>Ninguno</t>
        </is>
      </c>
      <c r="C55" s="406" t="n"/>
      <c r="D55" s="460" t="n"/>
      <c r="E55" s="301" t="n"/>
      <c r="F55" s="301" t="n"/>
      <c r="G55" s="403" t="inlineStr">
        <is>
          <t>Insumos NT</t>
        </is>
      </c>
      <c r="H55" s="403" t="inlineStr">
        <is>
          <t>Ninguno</t>
        </is>
      </c>
      <c r="I55" s="404">
        <f>SUMIFS('Ing-Egr Noviembre 2026'!F4:F103,'Ing-Egr Noviembre 2026'!B4:B103,"Egreso NT",'Ing-Egr Noviembre 2026'!C4:C103,G55)</f>
        <v/>
      </c>
      <c r="J55" s="459" t="n"/>
      <c r="K55" s="301" t="n"/>
      <c r="L55" s="301" t="n"/>
    </row>
    <row r="56" ht="15" customHeight="1" s="221">
      <c r="A56" s="410" t="inlineStr">
        <is>
          <t>ChatGPT</t>
        </is>
      </c>
      <c r="B56" s="410" t="inlineStr">
        <is>
          <t>Ninguno</t>
        </is>
      </c>
      <c r="C56" s="411" t="n"/>
      <c r="D56" s="463" t="n"/>
      <c r="E56" s="301" t="n"/>
      <c r="F56" s="301" t="n"/>
      <c r="G56" s="407" t="inlineStr">
        <is>
          <t>Papelería NT</t>
        </is>
      </c>
      <c r="H56" s="407" t="inlineStr">
        <is>
          <t>Ninguno</t>
        </is>
      </c>
      <c r="I56" s="408">
        <f>SUMIFS('Ing-Egr Noviembre 2026'!F4:F103,'Ing-Egr Noviembre 2026'!B4:B103,"Egreso NT",'Ing-Egr Noviembre 2026'!C4:C103,G56)</f>
        <v/>
      </c>
      <c r="J56" s="461" t="n"/>
      <c r="K56" s="301" t="n"/>
      <c r="L56" s="301" t="n"/>
    </row>
    <row r="57" ht="15" customHeight="1" s="221">
      <c r="A57" s="414" t="inlineStr">
        <is>
          <t>Claude Marco</t>
        </is>
      </c>
      <c r="B57" s="414" t="inlineStr">
        <is>
          <t>Ninguno</t>
        </is>
      </c>
      <c r="C57" s="415" t="n"/>
      <c r="D57" s="465" t="n"/>
      <c r="E57" s="301" t="n"/>
      <c r="F57" s="301" t="n"/>
      <c r="G57" s="403" t="inlineStr">
        <is>
          <t>Mantenimiento NT</t>
        </is>
      </c>
      <c r="H57" s="403" t="inlineStr">
        <is>
          <t>Ninguno</t>
        </is>
      </c>
      <c r="I57" s="404">
        <f>SUMIFS('Ing-Egr Noviembre 2026'!F4:F103,'Ing-Egr Noviembre 2026'!B4:B103,"Egreso NT",'Ing-Egr Noviembre 2026'!C4:C103,G57)</f>
        <v/>
      </c>
      <c r="J57" s="459" t="n"/>
      <c r="K57" s="301" t="n"/>
      <c r="L57" s="301" t="n"/>
    </row>
    <row r="58" ht="15" customHeight="1" s="221">
      <c r="A58" s="401" t="inlineStr">
        <is>
          <t>Claude Clara</t>
        </is>
      </c>
      <c r="B58" s="401" t="inlineStr">
        <is>
          <t>Ninguno</t>
        </is>
      </c>
      <c r="C58" s="402" t="n"/>
      <c r="D58" s="458" t="n"/>
      <c r="E58" s="301" t="n"/>
      <c r="F58" s="301" t="n"/>
      <c r="G58" s="407" t="inlineStr">
        <is>
          <t>Gastos Cursos NT</t>
        </is>
      </c>
      <c r="H58" s="407" t="inlineStr">
        <is>
          <t>Ninguno</t>
        </is>
      </c>
      <c r="I58" s="416">
        <f>SUMIFS('Ing-Egr Noviembre 2026'!F4:F103,'Ing-Egr Noviembre 2026'!B4:B103,"Egreso NT",'Ing-Egr Noviembre 2026'!C4:C103,G58)</f>
        <v/>
      </c>
      <c r="J58" s="461" t="n"/>
      <c r="K58" s="301" t="n"/>
      <c r="L58" s="301" t="n"/>
    </row>
    <row r="59" ht="15" customHeight="1" s="221">
      <c r="A59" s="405" t="inlineStr">
        <is>
          <t>iLovePDF</t>
        </is>
      </c>
      <c r="B59" s="405" t="inlineStr">
        <is>
          <t>Ninguno</t>
        </is>
      </c>
      <c r="C59" s="406" t="n"/>
      <c r="D59" s="460" t="n"/>
      <c r="E59" s="301" t="n"/>
      <c r="F59" s="301" t="n"/>
      <c r="G59" s="403" t="inlineStr">
        <is>
          <t>Gastos Varios NT</t>
        </is>
      </c>
      <c r="H59" s="403" t="inlineStr">
        <is>
          <t>Ninguno</t>
        </is>
      </c>
      <c r="I59" s="417">
        <f>SUMIFS('Ing-Egr Noviembre 2026'!F4:F103,'Ing-Egr Noviembre 2026'!B4:B103,"Egreso NT",'Ing-Egr Noviembre 2026'!C4:C103,G59)</f>
        <v/>
      </c>
      <c r="J59" s="459" t="n"/>
      <c r="K59" s="301" t="n"/>
      <c r="L59" s="301" t="n"/>
    </row>
    <row r="60" ht="15" customHeight="1" s="221">
      <c r="A60" s="410" t="inlineStr">
        <is>
          <t>Scribd</t>
        </is>
      </c>
      <c r="B60" s="410" t="inlineStr">
        <is>
          <t>Ninguno</t>
        </is>
      </c>
      <c r="C60" s="411" t="n"/>
      <c r="D60" s="463" t="n"/>
      <c r="E60" s="301" t="n"/>
      <c r="F60" s="301" t="n"/>
      <c r="G60" s="407" t="inlineStr">
        <is>
          <t>Reserva NT 1</t>
        </is>
      </c>
      <c r="H60" s="407" t="inlineStr">
        <is>
          <t>Ninguno</t>
        </is>
      </c>
      <c r="I60" s="408">
        <f>SUMIFS('Ing-Egr Noviembre 2026'!F4:F103,'Ing-Egr Noviembre 2026'!B4:B103,"Egreso NT",'Ing-Egr Noviembre 2026'!C4:C103,G60)</f>
        <v/>
      </c>
      <c r="J60" s="461" t="n"/>
      <c r="K60" s="301" t="n"/>
      <c r="L60" s="301" t="n"/>
    </row>
    <row r="61" ht="15" customHeight="1" s="221">
      <c r="A61" s="405" t="inlineStr">
        <is>
          <t>Netflix</t>
        </is>
      </c>
      <c r="B61" s="405" t="inlineStr">
        <is>
          <t>Ninguno</t>
        </is>
      </c>
      <c r="C61" s="406" t="n"/>
      <c r="D61" s="460" t="n"/>
      <c r="E61" s="301" t="n"/>
      <c r="F61" s="301" t="n"/>
      <c r="G61" s="403" t="inlineStr">
        <is>
          <t>Reserva NT 2</t>
        </is>
      </c>
      <c r="H61" s="403" t="inlineStr">
        <is>
          <t>Ninguno</t>
        </is>
      </c>
      <c r="I61" s="404">
        <f>SUMIFS('Ing-Egr Noviembre 2026'!F4:F103,'Ing-Egr Noviembre 2026'!B4:B103,"Egreso NT",'Ing-Egr Noviembre 2026'!C4:C103,G61)</f>
        <v/>
      </c>
      <c r="J61" s="459" t="n"/>
      <c r="K61" s="301" t="n"/>
      <c r="L61" s="301" t="n"/>
    </row>
    <row r="62" ht="15" customHeight="1" s="221">
      <c r="A62" s="413" t="inlineStr">
        <is>
          <t>► GASTOS VARIABLES 🔗</t>
        </is>
      </c>
      <c r="B62" s="256" t="n"/>
      <c r="C62" s="256" t="n"/>
      <c r="D62" s="353" t="n"/>
      <c r="E62" s="301" t="n"/>
      <c r="F62" s="301" t="n"/>
      <c r="G62" s="407" t="inlineStr">
        <is>
          <t>Reserva NT 3</t>
        </is>
      </c>
      <c r="H62" s="407" t="inlineStr">
        <is>
          <t>Ninguno</t>
        </is>
      </c>
      <c r="I62" s="408">
        <f>SUMIFS('Ing-Egr Noviembre 2026'!F4:F103,'Ing-Egr Noviembre 2026'!B4:B103,"Egreso NT",'Ing-Egr Noviembre 2026'!C4:C103,G62)</f>
        <v/>
      </c>
      <c r="J62" s="461" t="n"/>
      <c r="K62" s="301" t="n"/>
      <c r="L62" s="301" t="n"/>
    </row>
    <row r="63" ht="15" customHeight="1" s="221">
      <c r="A63" s="410" t="inlineStr">
        <is>
          <t>Combustible</t>
        </is>
      </c>
      <c r="B63" s="410" t="inlineStr">
        <is>
          <t>Ninguno</t>
        </is>
      </c>
      <c r="C63" s="411">
        <f>SUMIFS('Ing-Egr Noviembre 2026'!F4:F103,'Ing-Egr Noviembre 2026'!B4:B103,"Egreso Familiar",'Ing-Egr Noviembre 2026'!C4:C103,A63)</f>
        <v/>
      </c>
      <c r="D63" s="463" t="n"/>
      <c r="E63" s="301" t="n"/>
      <c r="F63" s="301" t="n"/>
      <c r="G63" s="301" t="n"/>
      <c r="H63" s="301" t="n"/>
      <c r="I63" s="301" t="n"/>
      <c r="J63" s="466" t="n"/>
      <c r="K63" s="301" t="n"/>
      <c r="L63" s="301" t="n"/>
    </row>
    <row r="64" ht="15" customHeight="1" s="221">
      <c r="A64" s="405" t="inlineStr">
        <is>
          <t>Supermercado</t>
        </is>
      </c>
      <c r="B64" s="405" t="inlineStr">
        <is>
          <t>Ninguno</t>
        </is>
      </c>
      <c r="C64" s="406">
        <f>SUMIFS('Ing-Egr Noviembre 2026'!F4:F103,'Ing-Egr Noviembre 2026'!B4:B103,"Egreso Familiar",'Ing-Egr Noviembre 2026'!C4:C103,A64)</f>
        <v/>
      </c>
      <c r="D64" s="460" t="n"/>
      <c r="E64" s="301" t="n"/>
      <c r="F64" s="301" t="n"/>
      <c r="G64" s="418" t="inlineStr">
        <is>
          <t>TOTAL NT PAGADOS</t>
        </is>
      </c>
      <c r="I64" s="419">
        <f>SUMIF(H30:H62,"Pagado",I30:I62)</f>
        <v/>
      </c>
      <c r="J64" s="467" t="n"/>
      <c r="K64" s="301" t="n"/>
      <c r="L64" s="301" t="n"/>
    </row>
    <row r="65" ht="15" customHeight="1" s="221">
      <c r="A65" s="410" t="inlineStr">
        <is>
          <t>Farmacia</t>
        </is>
      </c>
      <c r="B65" s="410" t="inlineStr">
        <is>
          <t>Ninguno</t>
        </is>
      </c>
      <c r="C65" s="411">
        <f>SUMIFS('Ing-Egr Noviembre 2026'!F4:F103,'Ing-Egr Noviembre 2026'!B4:B103,"Egreso Familiar",'Ing-Egr Noviembre 2026'!C4:C103,A65)</f>
        <v/>
      </c>
      <c r="D65" s="468">
        <f>C72</f>
        <v/>
      </c>
      <c r="E65" s="301" t="n"/>
      <c r="F65" s="301" t="n"/>
      <c r="G65" s="422" t="inlineStr">
        <is>
          <t>TOTAL NT PENDIENTES</t>
        </is>
      </c>
      <c r="I65" s="423">
        <f>SUMIF(H30:H62,"Pendiente",I30:I62)</f>
        <v/>
      </c>
      <c r="J65" s="469" t="n"/>
      <c r="K65" s="301" t="n"/>
      <c r="L65" s="301" t="n"/>
    </row>
    <row r="66" ht="15" customHeight="1" s="221">
      <c r="A66" s="405" t="inlineStr">
        <is>
          <t>Recreación</t>
        </is>
      </c>
      <c r="B66" s="405" t="inlineStr">
        <is>
          <t>Ninguno</t>
        </is>
      </c>
      <c r="C66" s="406">
        <f>SUMIFS('Ing-Egr Noviembre 2026'!F4:F103,'Ing-Egr Noviembre 2026'!B4:B103,"Egreso Familiar",'Ing-Egr Noviembre 2026'!C4:C103,A66)</f>
        <v/>
      </c>
      <c r="D66" s="470">
        <f>C73</f>
        <v/>
      </c>
      <c r="E66" s="301" t="n"/>
      <c r="F66" s="301" t="n"/>
      <c r="G66" s="301" t="n"/>
      <c r="H66" s="301" t="n"/>
      <c r="I66" s="301" t="n"/>
      <c r="J66" s="466" t="n"/>
      <c r="K66" s="301" t="n"/>
      <c r="L66" s="301" t="n"/>
    </row>
    <row r="67" ht="15" customHeight="1" s="221">
      <c r="A67" s="410" t="inlineStr">
        <is>
          <t>Gastos Varios</t>
        </is>
      </c>
      <c r="B67" s="410" t="inlineStr">
        <is>
          <t>Ninguno</t>
        </is>
      </c>
      <c r="C67" s="411">
        <f>SUMIFS('Ing-Egr Noviembre 2026'!F4:F103,'Ing-Egr Noviembre 2026'!B4:B103,"Egreso Familiar",'Ing-Egr Noviembre 2026'!C4:C103,A67)</f>
        <v/>
      </c>
      <c r="D67" s="463" t="n"/>
      <c r="E67" s="301" t="n"/>
      <c r="F67" s="301" t="n"/>
      <c r="G67" s="386" t="inlineStr">
        <is>
          <t>📊 SALUD FINANCIERA NEUROTEA</t>
        </is>
      </c>
      <c r="L67" s="301" t="n"/>
    </row>
    <row r="68" ht="15" customHeight="1" s="221">
      <c r="A68" s="405" t="inlineStr">
        <is>
          <t>Reserva Fam 1</t>
        </is>
      </c>
      <c r="B68" s="405" t="inlineStr">
        <is>
          <t>Ninguno</t>
        </is>
      </c>
      <c r="C68" s="406">
        <f>SUMIFS('Ing-Egr Noviembre 2026'!F4:F103,'Ing-Egr Noviembre 2026'!B4:B103,"Egreso Familiar",'Ing-Egr Noviembre 2026'!C4:C103,A68)</f>
        <v/>
      </c>
      <c r="D68" s="460" t="n"/>
      <c r="E68" s="301" t="n"/>
      <c r="F68" s="301" t="n"/>
      <c r="G68" s="398" t="inlineStr">
        <is>
          <t>Concepto</t>
        </is>
      </c>
      <c r="H68" s="398" t="inlineStr">
        <is>
          <t>% Ideal</t>
        </is>
      </c>
      <c r="I68" s="426" t="inlineStr">
        <is>
          <t>Monto Ideal</t>
        </is>
      </c>
      <c r="J68" s="471" t="inlineStr">
        <is>
          <t>Monto Real</t>
        </is>
      </c>
      <c r="K68" s="398" t="inlineStr">
        <is>
          <t>Estado</t>
        </is>
      </c>
      <c r="L68" s="301" t="n"/>
    </row>
    <row r="69" ht="15" customHeight="1" s="221">
      <c r="A69" s="410" t="inlineStr">
        <is>
          <t>Reserva Fam 2</t>
        </is>
      </c>
      <c r="B69" s="410" t="inlineStr">
        <is>
          <t>Ninguno</t>
        </is>
      </c>
      <c r="C69" s="411">
        <f>SUMIFS('Ing-Egr Noviembre 2026'!F4:F103,'Ing-Egr Noviembre 2026'!B4:B103,"Egreso Familiar",'Ing-Egr Noviembre 2026'!C4:C103,A69)</f>
        <v/>
      </c>
      <c r="D69" s="463" t="n"/>
      <c r="E69" s="301" t="n"/>
      <c r="F69" s="301" t="n"/>
      <c r="G69" s="301" t="inlineStr">
        <is>
          <t>Gastos Operativos (máx 75%)</t>
        </is>
      </c>
      <c r="H69" s="427" t="n">
        <v>0.75</v>
      </c>
      <c r="I69" s="328">
        <f>J12*0.75</f>
        <v/>
      </c>
      <c r="J69" s="466">
        <f>I64+I65</f>
        <v/>
      </c>
      <c r="K69" s="428">
        <f>IF(J12=0,"-",IF(J69/J12&lt;=0.75,"🟢 OK",IF(J69/J12&lt;=0.9,"🟡 PRECAUCIÓN","🔴 ALARMA")))</f>
        <v/>
      </c>
      <c r="L69" s="301" t="n"/>
    </row>
    <row r="70" ht="15" customHeight="1" s="221">
      <c r="A70" s="414" t="inlineStr">
        <is>
          <t>Reserva Fam 3</t>
        </is>
      </c>
      <c r="B70" s="414" t="inlineStr">
        <is>
          <t>Ninguno</t>
        </is>
      </c>
      <c r="C70" s="415">
        <f>SUMIFS('Ing-Egr Noviembre 2026'!F4:F103,'Ing-Egr Noviembre 2026'!B4:B103,"Egreso Familiar",'Ing-Egr Noviembre 2026'!C4:C103,A70)</f>
        <v/>
      </c>
      <c r="D70" s="465" t="n"/>
      <c r="E70" s="301" t="n"/>
      <c r="F70" s="301" t="n"/>
      <c r="G70" s="301" t="inlineStr">
        <is>
          <t>Ganancia (10%)</t>
        </is>
      </c>
      <c r="H70" s="427" t="n">
        <v>0.1</v>
      </c>
      <c r="I70" s="328">
        <f>J12*0.1</f>
        <v/>
      </c>
      <c r="J70" s="466">
        <f>D22</f>
        <v/>
      </c>
      <c r="K70" s="429">
        <f>IF(J70&gt;=I70,"🟢","🔴")</f>
        <v/>
      </c>
      <c r="L70" s="301" t="n"/>
    </row>
    <row r="71" ht="15" customHeight="1" s="221">
      <c r="A71" s="301" t="n"/>
      <c r="B71" s="301" t="n"/>
      <c r="C71" s="301" t="n"/>
      <c r="D71" s="301" t="n"/>
      <c r="E71" s="301" t="n"/>
      <c r="F71" s="301" t="n"/>
      <c r="G71" s="301" t="inlineStr">
        <is>
          <t>Inversiones (5%)</t>
        </is>
      </c>
      <c r="H71" s="427" t="n">
        <v>0.05</v>
      </c>
      <c r="I71" s="328">
        <f>J12*0.05</f>
        <v/>
      </c>
      <c r="J71" s="328" t="n">
        <v>0</v>
      </c>
      <c r="K71" s="429">
        <f>IF(J71&gt;=I71,"🟢","🔴")</f>
        <v/>
      </c>
      <c r="L71" s="301" t="n"/>
    </row>
    <row r="72" ht="15" customHeight="1" s="221">
      <c r="A72" s="430" t="inlineStr">
        <is>
          <t>TOTAL FAM. PAGADOS</t>
        </is>
      </c>
      <c r="B72" s="353" t="n"/>
      <c r="C72" s="431">
        <f>SUMIF(B30:B70,"Pagado",C30:C70)</f>
        <v/>
      </c>
      <c r="D72" s="432" t="n"/>
      <c r="E72" s="301" t="n"/>
      <c r="F72" s="301" t="n"/>
      <c r="G72" s="301" t="inlineStr">
        <is>
          <t>Imprevistos (5%)</t>
        </is>
      </c>
      <c r="H72" s="427" t="n">
        <v>0.05</v>
      </c>
      <c r="I72" s="328">
        <f>J12*0.05</f>
        <v/>
      </c>
      <c r="J72" s="328" t="n">
        <v>0</v>
      </c>
      <c r="K72" s="429">
        <f>IF(J72&gt;=I72,"🟢","🔴")</f>
        <v/>
      </c>
      <c r="L72" s="301" t="n"/>
    </row>
    <row r="73" ht="15" customHeight="1" s="221">
      <c r="A73" s="433" t="inlineStr">
        <is>
          <t>TOTAL FAM. PENDIENTES</t>
        </is>
      </c>
      <c r="B73" s="353" t="n"/>
      <c r="C73" s="434">
        <f>SUMIF(B30:B70,"Pendiente",C30:C70)</f>
        <v/>
      </c>
      <c r="D73" s="435" t="n"/>
      <c r="E73" s="301" t="n"/>
      <c r="F73" s="301" t="n"/>
      <c r="G73" s="301" t="inlineStr">
        <is>
          <t>Desvío Imprevisto (5%)</t>
        </is>
      </c>
      <c r="H73" s="427" t="n">
        <v>0.05</v>
      </c>
      <c r="I73" s="328">
        <f>J12*0.05</f>
        <v/>
      </c>
      <c r="J73" s="328" t="n">
        <v>0</v>
      </c>
      <c r="K73" s="429">
        <f>IF(J73&gt;=I73,"🟢","🔴")</f>
        <v/>
      </c>
      <c r="L73" s="301" t="n"/>
    </row>
    <row r="74" ht="15" customHeight="1" s="221">
      <c r="A74" s="354" t="n"/>
      <c r="B74" s="354" t="n"/>
      <c r="C74" s="359" t="n"/>
      <c r="D74" s="360" t="n"/>
      <c r="E74" s="301" t="n"/>
      <c r="F74" s="301" t="n"/>
      <c r="G74" s="223" t="inlineStr">
        <is>
          <t>TOTAL</t>
        </is>
      </c>
      <c r="H74" s="436">
        <f>SUM(H69:H73)</f>
        <v/>
      </c>
      <c r="I74" s="437">
        <f>SUM(I69:I73)</f>
        <v/>
      </c>
      <c r="J74" s="437">
        <f>SUM(J69:J73)</f>
        <v/>
      </c>
      <c r="K74" s="301" t="n"/>
      <c r="L74" s="301" t="n"/>
    </row>
    <row r="75" ht="15" customHeight="1" s="221">
      <c r="A75" s="354" t="n"/>
      <c r="B75" s="354" t="n"/>
      <c r="C75" s="359" t="n"/>
      <c r="D75" s="360" t="n"/>
      <c r="E75" s="301" t="n"/>
      <c r="F75" s="301" t="n"/>
      <c r="G75" s="301" t="n"/>
      <c r="H75" s="301" t="n"/>
      <c r="I75" s="301" t="n"/>
      <c r="J75" s="301" t="n"/>
      <c r="K75" s="301" t="n"/>
      <c r="L75" s="301" t="n"/>
    </row>
    <row r="76" ht="15" customHeight="1" s="221">
      <c r="A76" s="354" t="n"/>
      <c r="B76" s="354" t="n"/>
      <c r="C76" s="359" t="n"/>
      <c r="D76" s="360" t="n"/>
      <c r="E76" s="301" t="n"/>
      <c r="F76" s="301" t="n"/>
      <c r="G76" s="223" t="inlineStr">
        <is>
          <t>% GASTOS SOBRE INGRESO:</t>
        </is>
      </c>
      <c r="H76" s="301" t="n"/>
      <c r="I76" s="301" t="n"/>
      <c r="J76" s="438">
        <f>IF(J12=0,0,J69/J12)</f>
        <v/>
      </c>
      <c r="K76" s="301" t="n"/>
      <c r="L76" s="301" t="n"/>
    </row>
    <row r="77" ht="15" customHeight="1" s="221">
      <c r="A77" s="354" t="n"/>
      <c r="B77" s="354" t="n"/>
      <c r="C77" s="359" t="n"/>
      <c r="D77" s="360" t="n"/>
      <c r="E77" s="301" t="n"/>
      <c r="F77" s="301" t="n"/>
      <c r="G77" s="223" t="inlineStr">
        <is>
          <t>DIAGNÓSTICO:</t>
        </is>
      </c>
      <c r="H77" s="301" t="n"/>
      <c r="I77" s="301" t="n"/>
      <c r="J77" s="439">
        <f>IF(J12=0,"Sin datos",IF(J69/J12&lt;=0.75,"🟢 CLÍNICA SANA",IF(J69/J12&lt;=0.9,"🟡 REVISAR GASTOS","🔴 SITUACIÓN CRÍTICA")))</f>
        <v/>
      </c>
      <c r="L77" s="301" t="n"/>
    </row>
    <row r="78" ht="15" customHeight="1" s="221">
      <c r="A78" s="354" t="n"/>
      <c r="B78" s="354" t="n"/>
      <c r="C78" s="359" t="n"/>
      <c r="D78" s="360" t="n"/>
      <c r="E78" s="301" t="n"/>
      <c r="F78" s="301" t="n"/>
      <c r="G78" s="301" t="n"/>
      <c r="H78" s="301" t="n"/>
      <c r="I78" s="301" t="n"/>
      <c r="J78" s="301" t="n"/>
      <c r="K78" s="301" t="n"/>
      <c r="L78" s="301" t="n"/>
    </row>
    <row r="79" ht="15" customHeight="1" s="221">
      <c r="A79" s="354" t="n"/>
      <c r="B79" s="354" t="n"/>
      <c r="C79" s="359" t="n"/>
      <c r="D79" s="360" t="n"/>
      <c r="E79" s="301" t="n"/>
      <c r="F79" s="301" t="n"/>
      <c r="G79" s="301" t="n"/>
      <c r="H79" s="301" t="n"/>
      <c r="I79" s="301" t="n"/>
      <c r="J79" s="301" t="n"/>
      <c r="K79" s="301" t="n"/>
      <c r="L79" s="301" t="n"/>
    </row>
    <row r="80" ht="15" customHeight="1" s="221">
      <c r="A80" s="301" t="n"/>
      <c r="B80" s="301" t="n"/>
      <c r="C80" s="328" t="n"/>
      <c r="D80" s="301" t="n"/>
      <c r="E80" s="301" t="n"/>
      <c r="F80" s="301" t="n"/>
      <c r="G80" s="301" t="n"/>
      <c r="H80" s="301" t="n"/>
      <c r="I80" s="301" t="n"/>
      <c r="J80" s="301" t="n"/>
      <c r="K80" s="301" t="n"/>
      <c r="L80" s="301" t="n"/>
    </row>
    <row r="81" ht="15.75" customHeight="1" s="221">
      <c r="A81" s="301" t="n"/>
      <c r="B81" s="301" t="n"/>
      <c r="C81" s="328" t="n"/>
      <c r="D81" s="301" t="n"/>
      <c r="E81" s="301" t="n"/>
      <c r="F81" s="301" t="n"/>
      <c r="G81" s="301" t="n"/>
      <c r="H81" s="301" t="n"/>
      <c r="I81" s="301" t="n"/>
      <c r="J81" s="301" t="n"/>
      <c r="K81" s="301" t="n"/>
      <c r="L81" s="301" t="n"/>
    </row>
    <row r="82" ht="15.75" customHeight="1" s="221">
      <c r="A82" s="301" t="n"/>
      <c r="B82" s="301" t="n"/>
      <c r="C82" s="328" t="n"/>
      <c r="D82" s="301" t="n"/>
      <c r="E82" s="301" t="n"/>
      <c r="F82" s="301" t="n"/>
      <c r="G82" s="301" t="n"/>
      <c r="H82" s="301" t="n"/>
      <c r="I82" s="301" t="n"/>
      <c r="J82" s="301" t="n"/>
      <c r="K82" s="301" t="n"/>
      <c r="L82" s="301" t="n"/>
    </row>
    <row r="83" ht="15" customHeight="1" s="221">
      <c r="A83" s="301" t="n"/>
      <c r="B83" s="301" t="n"/>
      <c r="C83" s="301" t="n"/>
      <c r="D83" s="301" t="n"/>
      <c r="E83" s="301" t="n"/>
      <c r="F83" s="301" t="n"/>
      <c r="G83" s="301" t="n"/>
      <c r="H83" s="301" t="n"/>
      <c r="I83" s="301" t="n"/>
      <c r="J83" s="301" t="n"/>
      <c r="K83" s="301" t="n"/>
      <c r="L83" s="301" t="n"/>
    </row>
    <row r="84" ht="15" customHeight="1" s="221">
      <c r="A84" s="301" t="n"/>
      <c r="B84" s="301" t="n"/>
      <c r="C84" s="301" t="n"/>
      <c r="D84" s="301" t="n"/>
      <c r="E84" s="301" t="n"/>
      <c r="F84" s="301" t="n"/>
      <c r="G84" s="301" t="n"/>
      <c r="H84" s="301" t="n"/>
      <c r="I84" s="301" t="n"/>
      <c r="J84" s="301" t="n"/>
      <c r="K84" s="301" t="n"/>
      <c r="L84" s="301" t="n"/>
    </row>
    <row r="85" ht="15" customHeight="1" s="221">
      <c r="A85" s="354" t="n"/>
      <c r="B85" s="354" t="n"/>
      <c r="C85" s="354" t="n"/>
      <c r="D85" s="354" t="n"/>
      <c r="E85" s="301" t="n"/>
      <c r="F85" s="301" t="n"/>
      <c r="G85" s="301" t="n"/>
      <c r="H85" s="301" t="n"/>
      <c r="I85" s="301" t="n"/>
      <c r="J85" s="301" t="n"/>
      <c r="K85" s="301" t="n"/>
      <c r="L85" s="301" t="n"/>
    </row>
    <row r="86" ht="15" customHeight="1" s="221">
      <c r="A86" s="301" t="n"/>
      <c r="B86" s="301" t="n"/>
      <c r="C86" s="301" t="n"/>
      <c r="D86" s="301" t="n"/>
      <c r="E86" s="301" t="n"/>
      <c r="F86" s="301" t="n"/>
      <c r="G86" s="301" t="n"/>
      <c r="H86" s="301" t="n"/>
      <c r="I86" s="301" t="n"/>
      <c r="J86" s="301" t="n"/>
      <c r="K86" s="301" t="n"/>
      <c r="L86" s="301" t="n"/>
    </row>
    <row r="87" ht="15" customHeight="1" s="221">
      <c r="A87" s="354" t="n"/>
      <c r="B87" s="354" t="n"/>
      <c r="C87" s="359" t="n"/>
      <c r="D87" s="360" t="n"/>
      <c r="E87" s="301" t="n"/>
      <c r="F87" s="301" t="n"/>
      <c r="G87" s="301" t="n"/>
      <c r="H87" s="301" t="n"/>
      <c r="I87" s="301" t="n"/>
      <c r="J87" s="301" t="n"/>
      <c r="K87" s="301" t="n"/>
      <c r="L87" s="301" t="n"/>
    </row>
    <row r="88" ht="15" customHeight="1" s="221">
      <c r="A88" s="354" t="n"/>
      <c r="B88" s="354" t="n"/>
      <c r="C88" s="359" t="n"/>
      <c r="D88" s="360" t="n"/>
      <c r="E88" s="301" t="n"/>
      <c r="F88" s="301" t="n"/>
      <c r="G88" s="301" t="n"/>
      <c r="H88" s="301" t="n"/>
      <c r="I88" s="301" t="n"/>
      <c r="J88" s="301" t="n"/>
      <c r="K88" s="301" t="n"/>
      <c r="L88" s="301" t="n"/>
    </row>
    <row r="89" ht="15" customHeight="1" s="221">
      <c r="A89" s="354" t="n"/>
      <c r="B89" s="354" t="n"/>
      <c r="C89" s="359" t="n"/>
      <c r="D89" s="360" t="n"/>
      <c r="E89" s="301" t="n"/>
      <c r="F89" s="301" t="n"/>
      <c r="G89" s="301" t="n"/>
      <c r="H89" s="301" t="n"/>
      <c r="I89" s="301" t="n"/>
      <c r="J89" s="301" t="n"/>
      <c r="K89" s="301" t="n"/>
      <c r="L89" s="301" t="n"/>
    </row>
    <row r="90" ht="15" customHeight="1" s="221">
      <c r="A90" s="354" t="n"/>
      <c r="B90" s="354" t="n"/>
      <c r="C90" s="359" t="n"/>
      <c r="D90" s="360" t="n"/>
      <c r="E90" s="301" t="n"/>
      <c r="F90" s="301" t="n"/>
      <c r="G90" s="301" t="n"/>
      <c r="H90" s="301" t="n"/>
      <c r="I90" s="301" t="n"/>
      <c r="J90" s="301" t="n"/>
      <c r="K90" s="301" t="n"/>
      <c r="L90" s="301" t="n"/>
    </row>
    <row r="91" ht="15" customHeight="1" s="221">
      <c r="A91" s="301" t="n"/>
      <c r="B91" s="301" t="n"/>
      <c r="C91" s="328" t="n"/>
      <c r="D91" s="301" t="n"/>
      <c r="E91" s="301" t="n"/>
      <c r="F91" s="301" t="n"/>
      <c r="G91" s="301" t="n"/>
      <c r="H91" s="301" t="n"/>
      <c r="I91" s="301" t="n"/>
      <c r="J91" s="301" t="n"/>
      <c r="K91" s="301" t="n"/>
      <c r="L91" s="301" t="n"/>
    </row>
    <row r="92" ht="15" customHeight="1" s="221">
      <c r="A92" s="301" t="n"/>
      <c r="B92" s="301" t="n"/>
      <c r="C92" s="301" t="n"/>
      <c r="D92" s="301" t="n"/>
      <c r="E92" s="301" t="n"/>
      <c r="F92" s="301" t="n"/>
      <c r="G92" s="301" t="n"/>
      <c r="H92" s="301" t="n"/>
      <c r="I92" s="301" t="n"/>
      <c r="J92" s="301" t="n"/>
      <c r="K92" s="301" t="n"/>
      <c r="L92" s="301" t="n"/>
    </row>
    <row r="93" ht="15" customHeight="1" s="221">
      <c r="A93" s="354" t="n"/>
      <c r="B93" s="354" t="n"/>
      <c r="C93" s="359" t="n"/>
      <c r="D93" s="360" t="n"/>
      <c r="E93" s="301" t="n"/>
      <c r="F93" s="301" t="n"/>
      <c r="G93" s="301" t="n"/>
      <c r="H93" s="301" t="n"/>
      <c r="I93" s="301" t="n"/>
      <c r="J93" s="301" t="n"/>
      <c r="K93" s="301" t="n"/>
      <c r="L93" s="301" t="n"/>
    </row>
    <row r="94" ht="15" customHeight="1" s="221">
      <c r="A94" s="354" t="n"/>
      <c r="B94" s="354" t="n"/>
      <c r="C94" s="359" t="n"/>
      <c r="D94" s="360" t="n"/>
      <c r="E94" s="301" t="n"/>
      <c r="F94" s="301" t="n"/>
      <c r="G94" s="301" t="n"/>
      <c r="H94" s="301" t="n"/>
      <c r="I94" s="301" t="n"/>
      <c r="J94" s="301" t="n"/>
      <c r="K94" s="301" t="n"/>
      <c r="L94" s="301" t="n"/>
    </row>
    <row r="95" ht="15" customHeight="1" s="221">
      <c r="A95" s="354" t="n"/>
      <c r="B95" s="354" t="n"/>
      <c r="C95" s="359" t="n"/>
      <c r="D95" s="360" t="n"/>
      <c r="E95" s="301" t="n"/>
      <c r="F95" s="301" t="n"/>
      <c r="G95" s="301" t="n"/>
      <c r="H95" s="301" t="n"/>
      <c r="I95" s="301" t="n"/>
      <c r="J95" s="301" t="n"/>
      <c r="K95" s="301" t="n"/>
      <c r="L95" s="301" t="n"/>
    </row>
    <row r="96" ht="15" customHeight="1" s="221">
      <c r="A96" s="354" t="n"/>
      <c r="B96" s="354" t="n"/>
      <c r="C96" s="359" t="n"/>
      <c r="D96" s="360" t="n"/>
      <c r="E96" s="301" t="n"/>
      <c r="F96" s="301" t="n"/>
      <c r="G96" s="301" t="n"/>
      <c r="H96" s="301" t="n"/>
      <c r="I96" s="301" t="n"/>
      <c r="J96" s="301" t="n"/>
      <c r="K96" s="301" t="n"/>
      <c r="L96" s="301" t="n"/>
    </row>
    <row r="97" ht="15" customHeight="1" s="221">
      <c r="A97" s="354" t="n"/>
      <c r="B97" s="354" t="n"/>
      <c r="C97" s="359" t="n"/>
      <c r="D97" s="360" t="n"/>
      <c r="E97" s="301" t="n"/>
      <c r="F97" s="301" t="n"/>
      <c r="G97" s="301" t="n"/>
      <c r="H97" s="301" t="n"/>
      <c r="I97" s="301" t="n"/>
      <c r="J97" s="301" t="n"/>
      <c r="K97" s="301" t="n"/>
      <c r="L97" s="301" t="n"/>
    </row>
    <row r="98" ht="15" customHeight="1" s="221">
      <c r="A98" s="354" t="n"/>
      <c r="B98" s="354" t="n"/>
      <c r="C98" s="359" t="n"/>
      <c r="D98" s="360" t="n"/>
      <c r="E98" s="301" t="n"/>
      <c r="F98" s="301" t="n"/>
      <c r="G98" s="301" t="n"/>
      <c r="H98" s="301" t="n"/>
      <c r="I98" s="301" t="n"/>
      <c r="J98" s="301" t="n"/>
      <c r="K98" s="301" t="n"/>
      <c r="L98" s="301" t="n"/>
    </row>
    <row r="99" ht="15" customHeight="1" s="221">
      <c r="A99" s="301" t="n"/>
      <c r="B99" s="301" t="n"/>
      <c r="C99" s="328" t="n"/>
      <c r="D99" s="301" t="n"/>
      <c r="E99" s="301" t="n"/>
      <c r="F99" s="301" t="n"/>
      <c r="G99" s="301" t="n"/>
      <c r="H99" s="301" t="n"/>
      <c r="I99" s="301" t="n"/>
      <c r="J99" s="301" t="n"/>
      <c r="K99" s="301" t="n"/>
      <c r="L99" s="301" t="n"/>
    </row>
    <row r="100" ht="15" customHeight="1" s="221">
      <c r="A100" s="301" t="n"/>
      <c r="B100" s="301" t="n"/>
      <c r="C100" s="301" t="n"/>
      <c r="D100" s="301" t="n"/>
      <c r="E100" s="301" t="n"/>
      <c r="F100" s="301" t="n"/>
      <c r="G100" s="301" t="n"/>
      <c r="H100" s="301" t="n"/>
      <c r="I100" s="301" t="n"/>
      <c r="J100" s="301" t="n"/>
      <c r="K100" s="301" t="n"/>
      <c r="L100" s="301" t="n"/>
    </row>
    <row r="101" ht="15" customHeight="1" s="221">
      <c r="A101" s="354" t="n"/>
      <c r="B101" s="354" t="n"/>
      <c r="C101" s="359" t="n"/>
      <c r="D101" s="360" t="n"/>
      <c r="E101" s="301" t="n"/>
      <c r="F101" s="301" t="n"/>
      <c r="G101" s="301" t="n"/>
      <c r="H101" s="301" t="n"/>
      <c r="I101" s="301" t="n"/>
      <c r="J101" s="301" t="n"/>
      <c r="K101" s="301" t="n"/>
      <c r="L101" s="301" t="n"/>
    </row>
    <row r="102" ht="15" customHeight="1" s="221">
      <c r="A102" s="354" t="n"/>
      <c r="B102" s="354" t="n"/>
      <c r="C102" s="359" t="n"/>
      <c r="D102" s="360" t="n"/>
      <c r="E102" s="301" t="n"/>
      <c r="F102" s="301" t="n"/>
      <c r="G102" s="301" t="n"/>
      <c r="H102" s="301" t="n"/>
      <c r="I102" s="301" t="n"/>
      <c r="J102" s="301" t="n"/>
      <c r="K102" s="301" t="n"/>
      <c r="L102" s="301" t="n"/>
    </row>
    <row r="103" ht="15" customHeight="1" s="221">
      <c r="A103" s="354" t="n"/>
      <c r="B103" s="354" t="n"/>
      <c r="C103" s="359" t="n"/>
      <c r="D103" s="360" t="n"/>
      <c r="E103" s="301" t="n"/>
      <c r="F103" s="301" t="n"/>
      <c r="G103" s="301" t="n"/>
      <c r="H103" s="301" t="n"/>
      <c r="I103" s="301" t="n"/>
      <c r="J103" s="301" t="n"/>
      <c r="K103" s="301" t="n"/>
      <c r="L103" s="301" t="n"/>
    </row>
    <row r="104" ht="15" customHeight="1" s="221">
      <c r="A104" s="354" t="n"/>
      <c r="B104" s="354" t="n"/>
      <c r="C104" s="359" t="n"/>
      <c r="D104" s="360" t="n"/>
      <c r="E104" s="301" t="n"/>
      <c r="F104" s="301" t="n"/>
      <c r="G104" s="301" t="n"/>
      <c r="H104" s="301" t="n"/>
      <c r="I104" s="301" t="n"/>
      <c r="J104" s="301" t="n"/>
      <c r="K104" s="301" t="n"/>
      <c r="L104" s="301" t="n"/>
    </row>
    <row r="105" ht="15" customHeight="1" s="221">
      <c r="A105" s="354" t="n"/>
      <c r="B105" s="354" t="n"/>
      <c r="C105" s="359" t="n"/>
      <c r="D105" s="360" t="n"/>
      <c r="E105" s="301" t="n"/>
      <c r="F105" s="301" t="n"/>
      <c r="G105" s="301" t="n"/>
      <c r="H105" s="301" t="n"/>
      <c r="I105" s="301" t="n"/>
      <c r="J105" s="301" t="n"/>
      <c r="K105" s="301" t="n"/>
      <c r="L105" s="301" t="n"/>
    </row>
    <row r="106" ht="15" customHeight="1" s="221">
      <c r="A106" s="301" t="n"/>
      <c r="B106" s="301" t="n"/>
      <c r="C106" s="328" t="n"/>
      <c r="D106" s="301" t="n"/>
      <c r="E106" s="301" t="n"/>
      <c r="F106" s="301" t="n"/>
      <c r="G106" s="301" t="n"/>
      <c r="H106" s="301" t="n"/>
      <c r="I106" s="301" t="n"/>
      <c r="J106" s="301" t="n"/>
      <c r="K106" s="301" t="n"/>
      <c r="L106" s="301" t="n"/>
    </row>
    <row r="107" ht="15" customHeight="1" s="221">
      <c r="A107" s="301" t="n"/>
      <c r="B107" s="301" t="n"/>
      <c r="C107" s="301" t="n"/>
      <c r="D107" s="301" t="n"/>
      <c r="E107" s="301" t="n"/>
      <c r="F107" s="301" t="n"/>
      <c r="G107" s="301" t="n"/>
      <c r="H107" s="301" t="n"/>
      <c r="I107" s="301" t="n"/>
      <c r="J107" s="301" t="n"/>
      <c r="K107" s="301" t="n"/>
      <c r="L107" s="301" t="n"/>
    </row>
    <row r="108" ht="15" customHeight="1" s="221">
      <c r="A108" s="354" t="n"/>
      <c r="B108" s="354" t="n"/>
      <c r="C108" s="359" t="n"/>
      <c r="D108" s="360" t="n"/>
      <c r="E108" s="301" t="n"/>
      <c r="F108" s="301" t="n"/>
      <c r="G108" s="301" t="n"/>
      <c r="H108" s="301" t="n"/>
      <c r="I108" s="301" t="n"/>
      <c r="J108" s="301" t="n"/>
      <c r="K108" s="301" t="n"/>
      <c r="L108" s="301" t="n"/>
    </row>
    <row r="109" ht="15" customHeight="1" s="221">
      <c r="A109" s="354" t="n"/>
      <c r="B109" s="354" t="n"/>
      <c r="C109" s="359" t="n"/>
      <c r="D109" s="360" t="n"/>
      <c r="E109" s="301" t="n"/>
      <c r="F109" s="301" t="n"/>
      <c r="G109" s="301" t="n"/>
      <c r="H109" s="301" t="n"/>
      <c r="I109" s="301" t="n"/>
      <c r="J109" s="301" t="n"/>
      <c r="K109" s="301" t="n"/>
      <c r="L109" s="301" t="n"/>
    </row>
    <row r="110" ht="15" customHeight="1" s="221">
      <c r="A110" s="301" t="n"/>
      <c r="B110" s="301" t="n"/>
      <c r="C110" s="328" t="n"/>
      <c r="D110" s="301" t="n"/>
      <c r="E110" s="301" t="n"/>
      <c r="F110" s="301" t="n"/>
      <c r="G110" s="301" t="n"/>
      <c r="H110" s="301" t="n"/>
      <c r="I110" s="301" t="n"/>
      <c r="J110" s="301" t="n"/>
      <c r="K110" s="301" t="n"/>
      <c r="L110" s="301" t="n"/>
    </row>
    <row r="111" ht="15" customHeight="1" s="221">
      <c r="A111" s="301" t="n"/>
      <c r="B111" s="301" t="n"/>
      <c r="C111" s="301" t="n"/>
      <c r="D111" s="301" t="n"/>
      <c r="E111" s="301" t="n"/>
      <c r="F111" s="301" t="n"/>
      <c r="G111" s="301" t="n"/>
      <c r="H111" s="301" t="n"/>
      <c r="I111" s="301" t="n"/>
      <c r="J111" s="301" t="n"/>
      <c r="K111" s="301" t="n"/>
      <c r="L111" s="301" t="n"/>
    </row>
    <row r="112" ht="15" customHeight="1" s="221">
      <c r="A112" s="354" t="n"/>
      <c r="B112" s="354" t="n"/>
      <c r="C112" s="359" t="n"/>
      <c r="D112" s="360" t="n"/>
      <c r="E112" s="301" t="n"/>
      <c r="F112" s="301" t="n"/>
      <c r="G112" s="301" t="n"/>
      <c r="H112" s="301" t="n"/>
      <c r="I112" s="301" t="n"/>
      <c r="J112" s="301" t="n"/>
      <c r="K112" s="301" t="n"/>
      <c r="L112" s="301" t="n"/>
    </row>
    <row r="113" ht="15" customHeight="1" s="221">
      <c r="A113" s="354" t="n"/>
      <c r="B113" s="354" t="n"/>
      <c r="C113" s="359" t="n"/>
      <c r="D113" s="360" t="n"/>
      <c r="E113" s="301" t="n"/>
      <c r="F113" s="301" t="n"/>
      <c r="G113" s="301" t="n"/>
      <c r="H113" s="301" t="n"/>
      <c r="I113" s="301" t="n"/>
      <c r="J113" s="301" t="n"/>
      <c r="K113" s="301" t="n"/>
      <c r="L113" s="301" t="n"/>
    </row>
    <row r="114" ht="15" customHeight="1" s="221">
      <c r="A114" s="354" t="n"/>
      <c r="B114" s="354" t="n"/>
      <c r="C114" s="359" t="n"/>
      <c r="D114" s="360" t="n"/>
      <c r="E114" s="301" t="n"/>
      <c r="F114" s="301" t="n"/>
      <c r="G114" s="301" t="n"/>
      <c r="H114" s="301" t="n"/>
      <c r="I114" s="301" t="n"/>
      <c r="J114" s="301" t="n"/>
      <c r="K114" s="301" t="n"/>
      <c r="L114" s="301" t="n"/>
    </row>
    <row r="115" ht="15" customHeight="1" s="221">
      <c r="A115" s="354" t="n"/>
      <c r="B115" s="354" t="n"/>
      <c r="C115" s="359" t="n"/>
      <c r="D115" s="360" t="n"/>
      <c r="E115" s="301" t="n"/>
      <c r="F115" s="301" t="n"/>
      <c r="G115" s="301" t="n"/>
      <c r="H115" s="301" t="n"/>
      <c r="I115" s="301" t="n"/>
      <c r="J115" s="301" t="n"/>
      <c r="K115" s="301" t="n"/>
      <c r="L115" s="301" t="n"/>
    </row>
    <row r="116" ht="15" customHeight="1" s="221">
      <c r="A116" s="354" t="n"/>
      <c r="B116" s="354" t="n"/>
      <c r="C116" s="359" t="n"/>
      <c r="D116" s="360" t="n"/>
      <c r="E116" s="301" t="n"/>
      <c r="F116" s="301" t="n"/>
      <c r="G116" s="301" t="n"/>
      <c r="H116" s="301" t="n"/>
      <c r="I116" s="301" t="n"/>
      <c r="J116" s="301" t="n"/>
      <c r="K116" s="301" t="n"/>
      <c r="L116" s="301" t="n"/>
    </row>
    <row r="117" ht="15" customHeight="1" s="221">
      <c r="A117" s="354" t="n"/>
      <c r="B117" s="354" t="n"/>
      <c r="C117" s="359" t="n"/>
      <c r="D117" s="360" t="n"/>
      <c r="E117" s="301" t="n"/>
      <c r="F117" s="301" t="n"/>
      <c r="G117" s="301" t="n"/>
      <c r="H117" s="301" t="n"/>
      <c r="I117" s="301" t="n"/>
      <c r="J117" s="301" t="n"/>
      <c r="K117" s="301" t="n"/>
      <c r="L117" s="301" t="n"/>
    </row>
    <row r="118" ht="15" customHeight="1" s="221">
      <c r="A118" s="354" t="n"/>
      <c r="B118" s="354" t="n"/>
      <c r="C118" s="359" t="n"/>
      <c r="D118" s="360" t="n"/>
      <c r="E118" s="301" t="n"/>
      <c r="F118" s="301" t="n"/>
      <c r="G118" s="301" t="n"/>
      <c r="H118" s="301" t="n"/>
      <c r="I118" s="301" t="n"/>
      <c r="J118" s="301" t="n"/>
      <c r="K118" s="301" t="n"/>
      <c r="L118" s="301" t="n"/>
    </row>
    <row r="119" ht="15" customHeight="1" s="221">
      <c r="A119" s="354" t="n"/>
      <c r="B119" s="354" t="n"/>
      <c r="C119" s="359" t="n"/>
      <c r="D119" s="360" t="n"/>
      <c r="E119" s="301" t="n"/>
      <c r="F119" s="301" t="n"/>
      <c r="G119" s="301" t="n"/>
      <c r="H119" s="301" t="n"/>
      <c r="I119" s="301" t="n"/>
      <c r="J119" s="301" t="n"/>
      <c r="K119" s="301" t="n"/>
      <c r="L119" s="301" t="n"/>
    </row>
    <row r="120" ht="15" customHeight="1" s="221">
      <c r="A120" s="354" t="n"/>
      <c r="B120" s="354" t="n"/>
      <c r="C120" s="359" t="n"/>
      <c r="D120" s="360" t="n"/>
      <c r="E120" s="301" t="n"/>
      <c r="F120" s="301" t="n"/>
      <c r="G120" s="301" t="n"/>
      <c r="H120" s="301" t="n"/>
      <c r="I120" s="301" t="n"/>
      <c r="J120" s="301" t="n"/>
      <c r="K120" s="301" t="n"/>
      <c r="L120" s="301" t="n"/>
    </row>
    <row r="121" ht="15" customHeight="1" s="221">
      <c r="A121" s="301" t="n"/>
      <c r="B121" s="301" t="n"/>
      <c r="C121" s="328" t="n"/>
      <c r="D121" s="301" t="n"/>
      <c r="E121" s="301" t="n"/>
      <c r="F121" s="301" t="n"/>
      <c r="G121" s="301" t="n"/>
      <c r="H121" s="301" t="n"/>
      <c r="I121" s="301" t="n"/>
      <c r="J121" s="301" t="n"/>
      <c r="K121" s="301" t="n"/>
      <c r="L121" s="301" t="n"/>
    </row>
    <row r="122" ht="15.75" customHeight="1" s="221">
      <c r="A122" s="301" t="n"/>
      <c r="B122" s="301" t="n"/>
      <c r="C122" s="328" t="n"/>
      <c r="D122" s="301" t="n"/>
      <c r="E122" s="301" t="n"/>
      <c r="F122" s="301" t="n"/>
      <c r="G122" s="301" t="n"/>
      <c r="H122" s="301" t="n"/>
      <c r="I122" s="301" t="n"/>
      <c r="J122" s="301" t="n"/>
      <c r="K122" s="301" t="n"/>
      <c r="L122" s="301" t="n"/>
    </row>
    <row r="123" ht="15.75" customHeight="1" s="221">
      <c r="A123" s="301" t="n"/>
      <c r="B123" s="301" t="n"/>
      <c r="C123" s="328" t="n"/>
      <c r="D123" s="301" t="n"/>
      <c r="E123" s="301" t="n"/>
      <c r="F123" s="301" t="n"/>
      <c r="G123" s="301" t="n"/>
      <c r="H123" s="301" t="n"/>
      <c r="I123" s="301" t="n"/>
      <c r="J123" s="301" t="n"/>
      <c r="K123" s="301" t="n"/>
      <c r="L123" s="301" t="n"/>
    </row>
    <row r="124" ht="15" customHeight="1" s="221">
      <c r="A124" s="301" t="n"/>
      <c r="B124" s="301" t="n"/>
      <c r="C124" s="301" t="n"/>
      <c r="D124" s="301" t="n"/>
      <c r="E124" s="301" t="n"/>
      <c r="F124" s="301" t="n"/>
      <c r="G124" s="301" t="n"/>
      <c r="H124" s="301" t="n"/>
      <c r="I124" s="301" t="n"/>
      <c r="J124" s="301" t="n"/>
      <c r="K124" s="301" t="n"/>
      <c r="L124" s="301" t="n"/>
    </row>
    <row r="125" ht="15" customHeight="1" s="221">
      <c r="A125" s="301" t="n"/>
      <c r="B125" s="301" t="n"/>
      <c r="C125" s="301" t="n"/>
      <c r="D125" s="301" t="n"/>
      <c r="E125" s="301" t="n"/>
      <c r="F125" s="301" t="n"/>
      <c r="G125" s="301" t="n"/>
      <c r="H125" s="301" t="n"/>
      <c r="I125" s="301" t="n"/>
      <c r="J125" s="301" t="n"/>
      <c r="K125" s="301" t="n"/>
      <c r="L125" s="301" t="n"/>
    </row>
    <row r="126" ht="15" customHeight="1" s="221">
      <c r="A126" s="301" t="n"/>
      <c r="B126" s="301" t="n"/>
      <c r="C126" s="301" t="n"/>
      <c r="D126" s="301" t="n"/>
      <c r="E126" s="301" t="n"/>
      <c r="F126" s="301" t="n"/>
      <c r="G126" s="301" t="n"/>
      <c r="H126" s="301" t="n"/>
      <c r="I126" s="301" t="n"/>
      <c r="J126" s="301" t="n"/>
      <c r="K126" s="301" t="n"/>
      <c r="L126" s="301" t="n"/>
    </row>
    <row r="127" ht="15" customHeight="1" s="221">
      <c r="A127" s="301" t="n"/>
      <c r="B127" s="301" t="n"/>
      <c r="C127" s="301" t="n"/>
      <c r="D127" s="301" t="n"/>
      <c r="E127" s="301" t="n"/>
      <c r="F127" s="301" t="n"/>
      <c r="G127" s="301" t="n"/>
      <c r="H127" s="301" t="n"/>
      <c r="I127" s="301" t="n"/>
      <c r="J127" s="301" t="n"/>
      <c r="K127" s="301" t="n"/>
      <c r="L127" s="301" t="n"/>
    </row>
    <row r="128" ht="15" customHeight="1" s="221">
      <c r="A128" s="301" t="n"/>
      <c r="B128" s="301" t="n"/>
      <c r="C128" s="301" t="n"/>
      <c r="D128" s="301" t="n"/>
      <c r="E128" s="301" t="n"/>
      <c r="F128" s="301" t="n"/>
      <c r="G128" s="301" t="n"/>
      <c r="H128" s="301" t="n"/>
      <c r="I128" s="301" t="n"/>
      <c r="J128" s="301" t="n"/>
      <c r="K128" s="301" t="n"/>
      <c r="L128" s="301" t="n"/>
    </row>
    <row r="129" ht="15" customHeight="1" s="221">
      <c r="A129" s="301" t="n"/>
      <c r="B129" s="301" t="n"/>
      <c r="C129" s="301" t="n"/>
      <c r="D129" s="301" t="n"/>
      <c r="E129" s="301" t="n"/>
      <c r="F129" s="301" t="n"/>
      <c r="G129" s="301" t="n"/>
      <c r="H129" s="301" t="n"/>
      <c r="I129" s="301" t="n"/>
      <c r="J129" s="301" t="n"/>
      <c r="K129" s="301" t="n"/>
      <c r="L129" s="301" t="n"/>
    </row>
    <row r="130" ht="15" customHeight="1" s="221">
      <c r="A130" s="301" t="n"/>
      <c r="B130" s="301" t="n"/>
      <c r="C130" s="301" t="n"/>
      <c r="D130" s="301" t="n"/>
      <c r="E130" s="301" t="n"/>
      <c r="F130" s="301" t="n"/>
      <c r="G130" s="301" t="n"/>
      <c r="H130" s="301" t="n"/>
      <c r="I130" s="301" t="n"/>
      <c r="J130" s="301" t="n"/>
      <c r="K130" s="301" t="n"/>
      <c r="L130" s="301" t="n"/>
    </row>
    <row r="131" ht="15" customHeight="1" s="221">
      <c r="A131" s="301" t="n"/>
      <c r="B131" s="301" t="n"/>
      <c r="C131" s="301" t="n"/>
      <c r="D131" s="301" t="n"/>
      <c r="E131" s="301" t="n"/>
      <c r="F131" s="301" t="n"/>
      <c r="G131" s="301" t="n"/>
      <c r="H131" s="301" t="n"/>
      <c r="I131" s="301" t="n"/>
      <c r="J131" s="301" t="n"/>
      <c r="K131" s="301" t="n"/>
      <c r="L131" s="301" t="n"/>
    </row>
    <row r="132" ht="15" customHeight="1" s="221">
      <c r="A132" s="301" t="n"/>
      <c r="B132" s="301" t="n"/>
      <c r="C132" s="301" t="n"/>
      <c r="D132" s="301" t="n"/>
      <c r="E132" s="301" t="n"/>
      <c r="F132" s="301" t="n"/>
      <c r="G132" s="301" t="n"/>
      <c r="H132" s="301" t="n"/>
      <c r="I132" s="301" t="n"/>
      <c r="J132" s="301" t="n"/>
      <c r="K132" s="301" t="n"/>
      <c r="L132" s="301" t="n"/>
    </row>
    <row r="133" ht="15" customHeight="1" s="221">
      <c r="A133" s="301" t="n"/>
      <c r="B133" s="301" t="n"/>
      <c r="C133" s="301" t="n"/>
      <c r="D133" s="301" t="n"/>
      <c r="E133" s="301" t="n"/>
      <c r="F133" s="301" t="n"/>
      <c r="G133" s="301" t="n"/>
      <c r="H133" s="301" t="n"/>
      <c r="I133" s="301" t="n"/>
      <c r="J133" s="301" t="n"/>
      <c r="K133" s="301" t="n"/>
      <c r="L133" s="301" t="n"/>
    </row>
    <row r="134" ht="15" customHeight="1" s="221">
      <c r="A134" s="301" t="n"/>
      <c r="B134" s="301" t="n"/>
      <c r="C134" s="301" t="n"/>
      <c r="D134" s="301" t="n"/>
      <c r="E134" s="301" t="n"/>
      <c r="F134" s="301" t="n"/>
      <c r="G134" s="301" t="n"/>
      <c r="H134" s="301" t="n"/>
      <c r="I134" s="301" t="n"/>
      <c r="J134" s="301" t="n"/>
      <c r="K134" s="301" t="n"/>
      <c r="L134" s="301" t="n"/>
    </row>
    <row r="135" ht="15" customHeight="1" s="221">
      <c r="A135" s="301" t="n"/>
      <c r="B135" s="301" t="n"/>
      <c r="C135" s="301" t="n"/>
      <c r="D135" s="301" t="n"/>
      <c r="E135" s="301" t="n"/>
      <c r="F135" s="301" t="n"/>
      <c r="G135" s="301" t="n"/>
      <c r="H135" s="301" t="n"/>
      <c r="I135" s="301" t="n"/>
      <c r="J135" s="301" t="n"/>
      <c r="K135" s="301" t="n"/>
      <c r="L135" s="301" t="n"/>
    </row>
    <row r="136" ht="15" customHeight="1" s="221">
      <c r="A136" s="301" t="n"/>
      <c r="B136" s="301" t="n"/>
      <c r="C136" s="301" t="n"/>
      <c r="D136" s="301" t="n"/>
      <c r="E136" s="301" t="n"/>
      <c r="F136" s="301" t="n"/>
      <c r="G136" s="301" t="n"/>
      <c r="H136" s="301" t="n"/>
      <c r="I136" s="301" t="n"/>
      <c r="J136" s="301" t="n"/>
      <c r="K136" s="301" t="n"/>
      <c r="L136" s="301" t="n"/>
    </row>
    <row r="137" ht="15" customHeight="1" s="221">
      <c r="A137" s="301" t="n"/>
      <c r="B137" s="301" t="n"/>
      <c r="C137" s="301" t="n"/>
      <c r="D137" s="301" t="n"/>
      <c r="E137" s="301" t="n"/>
      <c r="F137" s="301" t="n"/>
      <c r="G137" s="301" t="n"/>
      <c r="H137" s="301" t="n"/>
      <c r="I137" s="301" t="n"/>
      <c r="J137" s="301" t="n"/>
      <c r="K137" s="301" t="n"/>
      <c r="L137" s="301" t="n"/>
    </row>
    <row r="138" ht="15" customHeight="1" s="221">
      <c r="A138" s="301" t="n"/>
      <c r="B138" s="301" t="n"/>
      <c r="C138" s="301" t="n"/>
      <c r="D138" s="301" t="n"/>
      <c r="E138" s="301" t="n"/>
      <c r="F138" s="301" t="n"/>
      <c r="G138" s="301" t="n"/>
      <c r="H138" s="301" t="n"/>
      <c r="I138" s="301" t="n"/>
      <c r="J138" s="301" t="n"/>
      <c r="K138" s="301" t="n"/>
      <c r="L138" s="301" t="n"/>
    </row>
    <row r="139" ht="15" customHeight="1" s="221">
      <c r="A139" s="301" t="n"/>
      <c r="B139" s="301" t="n"/>
      <c r="C139" s="301" t="n"/>
      <c r="D139" s="301" t="n"/>
      <c r="E139" s="301" t="n"/>
      <c r="F139" s="301" t="n"/>
      <c r="G139" s="301" t="n"/>
      <c r="H139" s="301" t="n"/>
      <c r="I139" s="301" t="n"/>
      <c r="J139" s="301" t="n"/>
      <c r="K139" s="301" t="n"/>
      <c r="L139" s="301" t="n"/>
    </row>
    <row r="140" ht="15" customHeight="1" s="221">
      <c r="A140" s="301" t="n"/>
      <c r="B140" s="301" t="n"/>
      <c r="C140" s="301" t="n"/>
      <c r="D140" s="301" t="n"/>
      <c r="E140" s="301" t="n"/>
      <c r="F140" s="301" t="n"/>
      <c r="G140" s="301" t="n"/>
      <c r="H140" s="301" t="n"/>
      <c r="I140" s="301" t="n"/>
      <c r="J140" s="301" t="n"/>
      <c r="K140" s="301" t="n"/>
      <c r="L140" s="301" t="n"/>
    </row>
    <row r="141" ht="15" customHeight="1" s="221">
      <c r="A141" s="301" t="n"/>
      <c r="B141" s="301" t="n"/>
      <c r="C141" s="301" t="n"/>
      <c r="D141" s="301" t="n"/>
      <c r="E141" s="301" t="n"/>
      <c r="F141" s="301" t="n"/>
      <c r="G141" s="301" t="n"/>
      <c r="H141" s="301" t="n"/>
      <c r="I141" s="301" t="n"/>
      <c r="J141" s="301" t="n"/>
      <c r="K141" s="301" t="n"/>
      <c r="L141" s="301" t="n"/>
    </row>
    <row r="142" ht="15" customHeight="1" s="221">
      <c r="A142" s="301" t="n"/>
      <c r="B142" s="301" t="n"/>
      <c r="C142" s="301" t="n"/>
      <c r="D142" s="301" t="n"/>
      <c r="E142" s="301" t="n"/>
      <c r="F142" s="301" t="n"/>
      <c r="G142" s="301" t="n"/>
      <c r="H142" s="301" t="n"/>
      <c r="I142" s="301" t="n"/>
      <c r="J142" s="301" t="n"/>
      <c r="K142" s="301" t="n"/>
      <c r="L142" s="301" t="n"/>
    </row>
    <row r="143" ht="15" customHeight="1" s="221">
      <c r="A143" s="301" t="n"/>
      <c r="B143" s="301" t="n"/>
      <c r="C143" s="301" t="n"/>
      <c r="D143" s="301" t="n"/>
      <c r="E143" s="301" t="n"/>
      <c r="F143" s="301" t="n"/>
      <c r="G143" s="301" t="n"/>
      <c r="H143" s="301" t="n"/>
      <c r="I143" s="301" t="n"/>
      <c r="J143" s="301" t="n"/>
      <c r="K143" s="301" t="n"/>
      <c r="L143" s="301" t="n"/>
    </row>
    <row r="144" ht="15" customHeight="1" s="221">
      <c r="A144" s="301" t="n"/>
      <c r="B144" s="301" t="n"/>
      <c r="C144" s="301" t="n"/>
      <c r="D144" s="301" t="n"/>
      <c r="E144" s="301" t="n"/>
      <c r="F144" s="301" t="n"/>
      <c r="G144" s="301" t="n"/>
      <c r="H144" s="301" t="n"/>
      <c r="I144" s="301" t="n"/>
      <c r="J144" s="301" t="n"/>
      <c r="K144" s="301" t="n"/>
      <c r="L144" s="301" t="n"/>
    </row>
    <row r="145" ht="15" customHeight="1" s="221">
      <c r="A145" s="301" t="n"/>
      <c r="B145" s="301" t="n"/>
      <c r="C145" s="301" t="n"/>
      <c r="D145" s="301" t="n"/>
      <c r="E145" s="301" t="n"/>
      <c r="F145" s="301" t="n"/>
      <c r="G145" s="301" t="n"/>
      <c r="H145" s="301" t="n"/>
      <c r="I145" s="301" t="n"/>
      <c r="J145" s="301" t="n"/>
      <c r="K145" s="301" t="n"/>
      <c r="L145" s="301" t="n"/>
    </row>
    <row r="146" ht="15" customHeight="1" s="221">
      <c r="A146" s="301" t="n"/>
      <c r="B146" s="301" t="n"/>
      <c r="C146" s="301" t="n"/>
      <c r="D146" s="301" t="n"/>
      <c r="E146" s="301" t="n"/>
      <c r="F146" s="301" t="n"/>
      <c r="G146" s="301" t="n"/>
      <c r="H146" s="301" t="n"/>
      <c r="I146" s="301" t="n"/>
      <c r="J146" s="301" t="n"/>
      <c r="K146" s="301" t="n"/>
      <c r="L146" s="301" t="n"/>
    </row>
    <row r="147" ht="15" customHeight="1" s="221">
      <c r="A147" s="301" t="n"/>
      <c r="B147" s="301" t="n"/>
      <c r="C147" s="301" t="n"/>
      <c r="D147" s="301" t="n"/>
      <c r="E147" s="301" t="n"/>
      <c r="F147" s="301" t="n"/>
      <c r="G147" s="301" t="n"/>
      <c r="H147" s="301" t="n"/>
      <c r="I147" s="301" t="n"/>
      <c r="J147" s="301" t="n"/>
      <c r="K147" s="301" t="n"/>
      <c r="L147" s="301" t="n"/>
    </row>
    <row r="148" ht="15" customHeight="1" s="221">
      <c r="A148" s="301" t="n"/>
      <c r="B148" s="301" t="n"/>
      <c r="C148" s="301" t="n"/>
      <c r="D148" s="301" t="n"/>
      <c r="E148" s="301" t="n"/>
      <c r="F148" s="301" t="n"/>
      <c r="G148" s="301" t="n"/>
      <c r="H148" s="301" t="n"/>
      <c r="I148" s="301" t="n"/>
      <c r="J148" s="301" t="n"/>
      <c r="K148" s="301" t="n"/>
      <c r="L148" s="301" t="n"/>
    </row>
    <row r="149" ht="15" customHeight="1" s="221">
      <c r="A149" s="301" t="n"/>
      <c r="B149" s="301" t="n"/>
      <c r="C149" s="301" t="n"/>
      <c r="D149" s="301" t="n"/>
      <c r="E149" s="301" t="n"/>
      <c r="F149" s="301" t="n"/>
      <c r="G149" s="301" t="n"/>
      <c r="H149" s="301" t="n"/>
      <c r="I149" s="301" t="n"/>
      <c r="J149" s="301" t="n"/>
      <c r="K149" s="301" t="n"/>
      <c r="L149" s="301" t="n"/>
    </row>
    <row r="150" ht="15" customHeight="1" s="221">
      <c r="A150" s="301" t="n"/>
      <c r="B150" s="301" t="n"/>
      <c r="C150" s="301" t="n"/>
      <c r="D150" s="301" t="n"/>
      <c r="E150" s="301" t="n"/>
      <c r="F150" s="301" t="n"/>
      <c r="G150" s="301" t="n"/>
      <c r="H150" s="301" t="n"/>
      <c r="I150" s="301" t="n"/>
      <c r="J150" s="301" t="n"/>
      <c r="K150" s="301" t="n"/>
      <c r="L150" s="301" t="n"/>
    </row>
  </sheetData>
  <mergeCells count="35">
    <mergeCell ref="G10:I10"/>
    <mergeCell ref="A8:D8"/>
    <mergeCell ref="A73:B73"/>
    <mergeCell ref="A62:D62"/>
    <mergeCell ref="G47:J47"/>
    <mergeCell ref="G54:J54"/>
    <mergeCell ref="A28:D28"/>
    <mergeCell ref="A26:C26"/>
    <mergeCell ref="G40:J40"/>
    <mergeCell ref="J77:K77"/>
    <mergeCell ref="A30:D30"/>
    <mergeCell ref="A51:D51"/>
    <mergeCell ref="A20:C20"/>
    <mergeCell ref="A3:B3"/>
    <mergeCell ref="G3:H3"/>
    <mergeCell ref="G67:J67"/>
    <mergeCell ref="A1:J1"/>
    <mergeCell ref="G8:J8"/>
    <mergeCell ref="G9:I9"/>
    <mergeCell ref="G65:H65"/>
    <mergeCell ref="D4:E4"/>
    <mergeCell ref="A41:D41"/>
    <mergeCell ref="G12:I12"/>
    <mergeCell ref="A17:B17"/>
    <mergeCell ref="D3:E3"/>
    <mergeCell ref="G64:H64"/>
    <mergeCell ref="G28:J28"/>
    <mergeCell ref="A4:B4"/>
    <mergeCell ref="G4:H4"/>
    <mergeCell ref="A72:B72"/>
    <mergeCell ref="A6:C6"/>
    <mergeCell ref="G34:J34"/>
    <mergeCell ref="G30:J30"/>
    <mergeCell ref="A9:B9"/>
    <mergeCell ref="G45:J45"/>
  </mergeCells>
  <conditionalFormatting sqref="B33:B200">
    <cfRule type="expression" rank="0" priority="2" equalAverage="0" aboveAverage="0" dxfId="0" text="" percent="0" bottom="0">
      <formula>$B33="Pagado"</formula>
    </cfRule>
    <cfRule type="expression" rank="0" priority="3" equalAverage="0" aboveAverage="0" dxfId="1" text="" percent="0" bottom="0">
      <formula>$B33="Pendiente"</formula>
    </cfRule>
    <cfRule type="expression" rank="0" priority="4" equalAverage="0" aboveAverage="0" dxfId="2" text="" percent="0" bottom="0">
      <formula>$B33="Cancelado"</formula>
    </cfRule>
  </conditionalFormatting>
  <dataValidations count="2">
    <dataValidation sqref="B33:B200" showDropDown="0" showInputMessage="0" showErrorMessage="0" allowBlank="1" type="list" errorStyle="stop" operator="between">
      <formula1>"Ninguno,Pendiente,Pagado,Cancelado"</formula1>
      <formula2>0</formula2>
    </dataValidation>
    <dataValidation sqref="H31:H62" showDropDown="0" showInputMessage="0" showErrorMessage="0" allowBlank="1" errorTitle="Estado inválido" error="Selecciona un estado válido" type="list">
      <formula1>"Ninguno,Pendiente,Pagado,Cancelado"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tabColor rgb="FFF39C12"/>
    <outlinePr summaryBelow="1" summaryRight="1"/>
    <pageSetUpPr fitToPage="0"/>
  </sheetPr>
  <dimension ref="A1:J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2" customWidth="1" style="220" min="1" max="2"/>
    <col width="18" customWidth="1" style="220" min="3" max="3"/>
    <col width="28" customWidth="1" style="220" min="4" max="4"/>
    <col width="14" customWidth="1" style="220" min="5" max="6"/>
    <col width="18" customWidth="1" style="220" min="7" max="8"/>
  </cols>
  <sheetData>
    <row r="1" ht="18" customHeight="1" s="221">
      <c r="A1" s="310" t="inlineStr">
        <is>
          <t>📋 REGISTRO DE MOVIMIENTOS - DICIEMBRE 2026</t>
        </is>
      </c>
      <c r="I1" s="301" t="n"/>
      <c r="J1" s="301" t="n"/>
    </row>
    <row r="2" ht="15" customHeight="1" s="221">
      <c r="A2" s="301" t="n"/>
      <c r="B2" s="301" t="n"/>
      <c r="C2" s="301" t="n"/>
      <c r="D2" s="301" t="n"/>
      <c r="E2" s="301" t="n"/>
      <c r="F2" s="301" t="n"/>
      <c r="G2" s="301" t="n"/>
      <c r="H2" s="301" t="n"/>
      <c r="I2" s="301" t="n"/>
      <c r="J2" s="301" t="n"/>
    </row>
    <row r="3" ht="15" customHeight="1" s="221">
      <c r="A3" s="311" t="inlineStr">
        <is>
          <t>Fecha</t>
        </is>
      </c>
      <c r="B3" s="312" t="inlineStr">
        <is>
          <t>Tipo</t>
        </is>
      </c>
      <c r="C3" s="312" t="inlineStr">
        <is>
          <t>Categoría</t>
        </is>
      </c>
      <c r="D3" s="311" t="inlineStr">
        <is>
          <t>Descripción</t>
        </is>
      </c>
      <c r="E3" s="311" t="inlineStr">
        <is>
          <t>Ingreso</t>
        </is>
      </c>
      <c r="F3" s="311" t="inlineStr">
        <is>
          <t>Egreso</t>
        </is>
      </c>
      <c r="G3" s="311" t="inlineStr">
        <is>
          <t>Cuenta</t>
        </is>
      </c>
      <c r="H3" s="311" t="inlineStr">
        <is>
          <t>Notas</t>
        </is>
      </c>
      <c r="I3" s="301" t="n"/>
      <c r="J3" s="301" t="n"/>
    </row>
    <row r="4" ht="15" customHeight="1" s="221">
      <c r="A4" s="313" t="n"/>
      <c r="B4" s="314" t="n"/>
      <c r="C4" s="315" t="n"/>
      <c r="D4" s="316" t="n"/>
      <c r="E4" s="317" t="n"/>
      <c r="F4" s="317" t="n"/>
      <c r="G4" s="318" t="n"/>
      <c r="H4" s="316" t="n"/>
      <c r="I4" s="301" t="n"/>
      <c r="J4" s="301" t="n"/>
    </row>
    <row r="5" ht="15" customHeight="1" s="221">
      <c r="A5" s="319" t="n"/>
      <c r="B5" s="320" t="n"/>
      <c r="C5" s="321" t="n"/>
      <c r="D5" s="322" t="n"/>
      <c r="E5" s="323" t="n"/>
      <c r="F5" s="323" t="n"/>
      <c r="G5" s="324" t="n"/>
      <c r="H5" s="322" t="n"/>
      <c r="I5" s="301" t="n"/>
      <c r="J5" s="301" t="n"/>
    </row>
    <row r="6" ht="15" customHeight="1" s="221">
      <c r="A6" s="313" t="n"/>
      <c r="B6" s="314" t="n"/>
      <c r="C6" s="315" t="n"/>
      <c r="D6" s="316" t="n"/>
      <c r="E6" s="317" t="n"/>
      <c r="F6" s="317" t="n"/>
      <c r="G6" s="318" t="n"/>
      <c r="H6" s="316" t="n"/>
      <c r="I6" s="301" t="n"/>
      <c r="J6" s="301" t="n"/>
    </row>
    <row r="7" ht="15" customHeight="1" s="221">
      <c r="A7" s="319" t="n"/>
      <c r="B7" s="320" t="n"/>
      <c r="C7" s="321" t="n"/>
      <c r="D7" s="322" t="n"/>
      <c r="E7" s="323" t="n"/>
      <c r="F7" s="323" t="n"/>
      <c r="G7" s="324" t="n"/>
      <c r="H7" s="322" t="n"/>
      <c r="I7" s="301" t="n"/>
      <c r="J7" s="301" t="n"/>
    </row>
    <row r="8" ht="15" customHeight="1" s="221">
      <c r="A8" s="313" t="n"/>
      <c r="B8" s="314" t="n"/>
      <c r="C8" s="315" t="n"/>
      <c r="D8" s="316" t="n"/>
      <c r="E8" s="317" t="n"/>
      <c r="F8" s="317" t="n"/>
      <c r="G8" s="318" t="n"/>
      <c r="H8" s="316" t="n"/>
      <c r="I8" s="301" t="n"/>
      <c r="J8" s="301" t="n"/>
    </row>
    <row r="9" ht="15" customHeight="1" s="221">
      <c r="A9" s="319" t="n"/>
      <c r="B9" s="320" t="n"/>
      <c r="C9" s="321" t="n"/>
      <c r="D9" s="322" t="n"/>
      <c r="E9" s="323" t="n"/>
      <c r="F9" s="323" t="n"/>
      <c r="G9" s="324" t="n"/>
      <c r="H9" s="322" t="n"/>
      <c r="I9" s="301" t="n"/>
      <c r="J9" s="301" t="n"/>
    </row>
    <row r="10" ht="15" customHeight="1" s="221">
      <c r="A10" s="313" t="n"/>
      <c r="B10" s="314" t="n"/>
      <c r="C10" s="315" t="n"/>
      <c r="D10" s="316" t="n"/>
      <c r="E10" s="317" t="n"/>
      <c r="F10" s="317" t="n"/>
      <c r="G10" s="318" t="n"/>
      <c r="H10" s="316" t="n"/>
      <c r="I10" s="301" t="n"/>
      <c r="J10" s="301" t="n"/>
    </row>
    <row r="11" ht="15" customHeight="1" s="221">
      <c r="A11" s="319" t="n"/>
      <c r="B11" s="320" t="n"/>
      <c r="C11" s="321" t="n"/>
      <c r="D11" s="322" t="n"/>
      <c r="E11" s="323" t="n"/>
      <c r="F11" s="323" t="n"/>
      <c r="G11" s="324" t="n"/>
      <c r="H11" s="322" t="n"/>
      <c r="I11" s="301" t="n"/>
      <c r="J11" s="301" t="n"/>
    </row>
    <row r="12" ht="15" customHeight="1" s="221">
      <c r="A12" s="313" t="n"/>
      <c r="B12" s="314" t="n"/>
      <c r="C12" s="315" t="n"/>
      <c r="D12" s="316" t="n"/>
      <c r="E12" s="317" t="n"/>
      <c r="F12" s="317" t="n"/>
      <c r="G12" s="318" t="n"/>
      <c r="H12" s="316" t="n"/>
      <c r="I12" s="301" t="n"/>
      <c r="J12" s="301" t="n"/>
    </row>
    <row r="13" ht="15" customHeight="1" s="221">
      <c r="A13" s="319" t="n"/>
      <c r="B13" s="320" t="n"/>
      <c r="C13" s="321" t="n"/>
      <c r="D13" s="322" t="n"/>
      <c r="E13" s="323" t="n"/>
      <c r="F13" s="323" t="n"/>
      <c r="G13" s="324" t="n"/>
      <c r="H13" s="322" t="n"/>
      <c r="I13" s="301" t="n"/>
      <c r="J13" s="301" t="n"/>
    </row>
    <row r="14" ht="15" customHeight="1" s="221">
      <c r="A14" s="313" t="n"/>
      <c r="B14" s="314" t="n"/>
      <c r="C14" s="315" t="n"/>
      <c r="D14" s="316" t="n"/>
      <c r="E14" s="317" t="n"/>
      <c r="F14" s="317" t="n"/>
      <c r="G14" s="318" t="n"/>
      <c r="H14" s="316" t="n"/>
      <c r="I14" s="301" t="n"/>
      <c r="J14" s="301" t="n"/>
    </row>
    <row r="15" ht="15" customHeight="1" s="221">
      <c r="A15" s="319" t="n"/>
      <c r="B15" s="320" t="n"/>
      <c r="C15" s="321" t="n"/>
      <c r="D15" s="322" t="n"/>
      <c r="E15" s="323" t="n"/>
      <c r="F15" s="323" t="n"/>
      <c r="G15" s="324" t="n"/>
      <c r="H15" s="322" t="n"/>
      <c r="I15" s="301" t="n"/>
      <c r="J15" s="301" t="n"/>
    </row>
    <row r="16" ht="15" customHeight="1" s="221">
      <c r="A16" s="313" t="n"/>
      <c r="B16" s="314" t="n"/>
      <c r="C16" s="315" t="n"/>
      <c r="D16" s="316" t="n"/>
      <c r="E16" s="317" t="n"/>
      <c r="F16" s="317" t="n"/>
      <c r="G16" s="318" t="n"/>
      <c r="H16" s="316" t="n"/>
      <c r="I16" s="301" t="n"/>
      <c r="J16" s="301" t="n"/>
    </row>
    <row r="17" ht="15" customHeight="1" s="221">
      <c r="A17" s="319" t="n"/>
      <c r="B17" s="320" t="n"/>
      <c r="C17" s="321" t="n"/>
      <c r="D17" s="322" t="n"/>
      <c r="E17" s="323" t="n"/>
      <c r="F17" s="323" t="n"/>
      <c r="G17" s="324" t="n"/>
      <c r="H17" s="322" t="n"/>
      <c r="I17" s="301" t="n"/>
      <c r="J17" s="301" t="n"/>
    </row>
    <row r="18" ht="15" customHeight="1" s="221">
      <c r="A18" s="313" t="n"/>
      <c r="B18" s="314" t="n"/>
      <c r="C18" s="315" t="n"/>
      <c r="D18" s="316" t="n"/>
      <c r="E18" s="317" t="n"/>
      <c r="F18" s="317" t="n"/>
      <c r="G18" s="318" t="n"/>
      <c r="H18" s="316" t="n"/>
      <c r="I18" s="301" t="n"/>
      <c r="J18" s="301" t="n"/>
    </row>
    <row r="19" ht="15" customHeight="1" s="221">
      <c r="A19" s="319" t="n"/>
      <c r="B19" s="320" t="n"/>
      <c r="C19" s="321" t="n"/>
      <c r="D19" s="322" t="n"/>
      <c r="E19" s="323" t="n"/>
      <c r="F19" s="323" t="n"/>
      <c r="G19" s="324" t="n"/>
      <c r="H19" s="322" t="n"/>
      <c r="I19" s="301" t="n"/>
      <c r="J19" s="301" t="n"/>
    </row>
    <row r="20" ht="15" customHeight="1" s="221">
      <c r="A20" s="313" t="n"/>
      <c r="B20" s="314" t="n"/>
      <c r="C20" s="315" t="n"/>
      <c r="D20" s="316" t="n"/>
      <c r="E20" s="317" t="n"/>
      <c r="F20" s="317" t="n"/>
      <c r="G20" s="318" t="n"/>
      <c r="H20" s="316" t="n"/>
      <c r="I20" s="301" t="n"/>
      <c r="J20" s="301" t="n"/>
    </row>
    <row r="21" ht="15" customHeight="1" s="221">
      <c r="A21" s="319" t="n"/>
      <c r="B21" s="320" t="n"/>
      <c r="C21" s="321" t="n"/>
      <c r="D21" s="322" t="n"/>
      <c r="E21" s="323" t="n"/>
      <c r="F21" s="323" t="n"/>
      <c r="G21" s="324" t="n"/>
      <c r="H21" s="322" t="n"/>
      <c r="I21" s="301" t="n"/>
      <c r="J21" s="301" t="n"/>
    </row>
    <row r="22" ht="15" customHeight="1" s="221">
      <c r="A22" s="313" t="n"/>
      <c r="B22" s="314" t="n"/>
      <c r="C22" s="315" t="n"/>
      <c r="D22" s="316" t="n"/>
      <c r="E22" s="317" t="n"/>
      <c r="F22" s="317" t="n"/>
      <c r="G22" s="318" t="n"/>
      <c r="H22" s="316" t="n"/>
      <c r="I22" s="301" t="n"/>
      <c r="J22" s="301" t="n"/>
    </row>
    <row r="23" ht="15" customHeight="1" s="221">
      <c r="A23" s="319" t="n"/>
      <c r="B23" s="320" t="n"/>
      <c r="C23" s="321" t="n"/>
      <c r="D23" s="322" t="n"/>
      <c r="E23" s="323" t="n"/>
      <c r="F23" s="323" t="n"/>
      <c r="G23" s="324" t="n"/>
      <c r="H23" s="322" t="n"/>
      <c r="I23" s="301" t="n"/>
      <c r="J23" s="301" t="n"/>
    </row>
    <row r="24" ht="15" customHeight="1" s="221">
      <c r="A24" s="313" t="n"/>
      <c r="B24" s="318" t="n"/>
      <c r="C24" s="315" t="n"/>
      <c r="D24" s="316" t="n"/>
      <c r="E24" s="317" t="n"/>
      <c r="F24" s="317" t="n"/>
      <c r="G24" s="318" t="n"/>
      <c r="H24" s="316" t="n"/>
      <c r="I24" s="301" t="n"/>
      <c r="J24" s="301" t="n"/>
    </row>
    <row r="25" ht="15" customHeight="1" s="221">
      <c r="A25" s="319" t="n"/>
      <c r="B25" s="324" t="n"/>
      <c r="C25" s="321" t="n"/>
      <c r="D25" s="322" t="n"/>
      <c r="E25" s="323" t="n"/>
      <c r="F25" s="323" t="n"/>
      <c r="G25" s="324" t="n"/>
      <c r="H25" s="322" t="n"/>
      <c r="I25" s="301" t="n"/>
      <c r="J25" s="301" t="n"/>
    </row>
    <row r="26" ht="15" customHeight="1" s="221">
      <c r="A26" s="313" t="n"/>
      <c r="B26" s="318" t="n"/>
      <c r="C26" s="315" t="n"/>
      <c r="D26" s="316" t="n"/>
      <c r="E26" s="317" t="n"/>
      <c r="F26" s="317" t="n"/>
      <c r="G26" s="318" t="n"/>
      <c r="H26" s="316" t="n"/>
      <c r="I26" s="301" t="n"/>
      <c r="J26" s="301" t="n"/>
    </row>
    <row r="27" ht="15" customHeight="1" s="221">
      <c r="A27" s="319" t="n"/>
      <c r="B27" s="324" t="n"/>
      <c r="C27" s="321" t="n"/>
      <c r="D27" s="322" t="n"/>
      <c r="E27" s="323" t="n"/>
      <c r="F27" s="323" t="n"/>
      <c r="G27" s="324" t="n"/>
      <c r="H27" s="322" t="n"/>
      <c r="I27" s="301" t="n"/>
      <c r="J27" s="301" t="n"/>
    </row>
    <row r="28" ht="15" customHeight="1" s="221">
      <c r="A28" s="313" t="n"/>
      <c r="B28" s="318" t="n"/>
      <c r="C28" s="315" t="n"/>
      <c r="D28" s="316" t="n"/>
      <c r="E28" s="317" t="n"/>
      <c r="F28" s="317" t="n"/>
      <c r="G28" s="318" t="n"/>
      <c r="H28" s="316" t="n"/>
      <c r="I28" s="301" t="n"/>
      <c r="J28" s="301" t="n"/>
    </row>
    <row r="29" ht="15" customHeight="1" s="221">
      <c r="A29" s="319" t="n"/>
      <c r="B29" s="324" t="n"/>
      <c r="C29" s="321" t="n"/>
      <c r="D29" s="322" t="n"/>
      <c r="E29" s="323" t="n"/>
      <c r="F29" s="323" t="n"/>
      <c r="G29" s="324" t="n"/>
      <c r="H29" s="322" t="n"/>
      <c r="I29" s="301" t="n"/>
      <c r="J29" s="301" t="n"/>
    </row>
    <row r="30" ht="15" customHeight="1" s="221">
      <c r="A30" s="313" t="n"/>
      <c r="B30" s="318" t="n"/>
      <c r="C30" s="315" t="n"/>
      <c r="D30" s="316" t="n"/>
      <c r="E30" s="317" t="n"/>
      <c r="F30" s="317" t="n"/>
      <c r="G30" s="318" t="n"/>
      <c r="H30" s="316" t="n"/>
      <c r="I30" s="301" t="n"/>
      <c r="J30" s="301" t="n"/>
    </row>
    <row r="31" ht="15" customHeight="1" s="221">
      <c r="A31" s="319" t="n"/>
      <c r="B31" s="324" t="n"/>
      <c r="C31" s="321" t="n"/>
      <c r="D31" s="322" t="n"/>
      <c r="E31" s="323" t="n"/>
      <c r="F31" s="323" t="n"/>
      <c r="G31" s="324" t="n"/>
      <c r="H31" s="322" t="n"/>
      <c r="I31" s="301" t="n"/>
      <c r="J31" s="301" t="n"/>
    </row>
    <row r="32" ht="15" customHeight="1" s="221">
      <c r="A32" s="313" t="n"/>
      <c r="B32" s="318" t="n"/>
      <c r="C32" s="315" t="n"/>
      <c r="D32" s="316" t="n"/>
      <c r="E32" s="317" t="n"/>
      <c r="F32" s="317" t="n"/>
      <c r="G32" s="318" t="n"/>
      <c r="H32" s="316" t="n"/>
      <c r="I32" s="301" t="n"/>
      <c r="J32" s="301" t="n"/>
    </row>
    <row r="33" ht="15" customHeight="1" s="221">
      <c r="A33" s="319" t="n"/>
      <c r="B33" s="324" t="n"/>
      <c r="C33" s="321" t="n"/>
      <c r="D33" s="322" t="n"/>
      <c r="E33" s="323" t="n"/>
      <c r="F33" s="323" t="n"/>
      <c r="G33" s="324" t="n"/>
      <c r="H33" s="322" t="n"/>
      <c r="I33" s="301" t="n"/>
      <c r="J33" s="301" t="n"/>
    </row>
    <row r="34" ht="15" customHeight="1" s="221">
      <c r="A34" s="313" t="n"/>
      <c r="B34" s="318" t="n"/>
      <c r="C34" s="315" t="n"/>
      <c r="D34" s="316" t="n"/>
      <c r="E34" s="317" t="n"/>
      <c r="F34" s="317" t="n"/>
      <c r="G34" s="318" t="n"/>
      <c r="H34" s="316" t="n"/>
      <c r="I34" s="301" t="n"/>
      <c r="J34" s="301" t="n"/>
    </row>
    <row r="35" ht="15" customHeight="1" s="221">
      <c r="A35" s="319" t="n"/>
      <c r="B35" s="324" t="n"/>
      <c r="C35" s="322" t="n"/>
      <c r="D35" s="322" t="n"/>
      <c r="E35" s="323" t="n"/>
      <c r="F35" s="323" t="n"/>
      <c r="G35" s="324" t="n"/>
      <c r="H35" s="322" t="n"/>
      <c r="I35" s="301" t="n"/>
      <c r="J35" s="301" t="n"/>
    </row>
    <row r="36" ht="15" customHeight="1" s="221">
      <c r="A36" s="313" t="n"/>
      <c r="B36" s="318" t="n"/>
      <c r="C36" s="316" t="n"/>
      <c r="D36" s="316" t="n"/>
      <c r="E36" s="317" t="n"/>
      <c r="F36" s="317" t="n"/>
      <c r="G36" s="318" t="n"/>
      <c r="H36" s="316" t="n"/>
      <c r="I36" s="301" t="n"/>
      <c r="J36" s="301" t="n"/>
    </row>
    <row r="37" ht="15" customHeight="1" s="221">
      <c r="A37" s="319" t="n"/>
      <c r="B37" s="324" t="n"/>
      <c r="C37" s="322" t="n"/>
      <c r="D37" s="322" t="n"/>
      <c r="E37" s="323" t="n"/>
      <c r="F37" s="323" t="n"/>
      <c r="G37" s="324" t="n"/>
      <c r="H37" s="322" t="n"/>
      <c r="I37" s="301" t="n"/>
      <c r="J37" s="301" t="n"/>
    </row>
    <row r="38" ht="15" customHeight="1" s="221">
      <c r="A38" s="313" t="n"/>
      <c r="B38" s="318" t="n"/>
      <c r="C38" s="316" t="n"/>
      <c r="D38" s="316" t="n"/>
      <c r="E38" s="317" t="n"/>
      <c r="F38" s="317" t="n"/>
      <c r="G38" s="318" t="n"/>
      <c r="H38" s="316" t="n"/>
      <c r="I38" s="301" t="n"/>
      <c r="J38" s="301" t="n"/>
    </row>
    <row r="39" ht="15" customHeight="1" s="221">
      <c r="A39" s="319" t="n"/>
      <c r="B39" s="324" t="n"/>
      <c r="C39" s="322" t="n"/>
      <c r="D39" s="322" t="n"/>
      <c r="E39" s="323" t="n"/>
      <c r="F39" s="323" t="n"/>
      <c r="G39" s="324" t="n"/>
      <c r="H39" s="322" t="n"/>
      <c r="I39" s="301" t="n"/>
      <c r="J39" s="301" t="n"/>
    </row>
    <row r="40" ht="15" customHeight="1" s="221">
      <c r="A40" s="313" t="n"/>
      <c r="B40" s="318" t="n"/>
      <c r="C40" s="316" t="n"/>
      <c r="D40" s="316" t="n"/>
      <c r="E40" s="317" t="n"/>
      <c r="F40" s="317" t="n"/>
      <c r="G40" s="318" t="n"/>
      <c r="H40" s="316" t="n"/>
      <c r="I40" s="301" t="n"/>
      <c r="J40" s="301" t="n"/>
    </row>
    <row r="41" ht="15" customHeight="1" s="221">
      <c r="A41" s="319" t="n"/>
      <c r="B41" s="324" t="n"/>
      <c r="C41" s="322" t="n"/>
      <c r="D41" s="322" t="n"/>
      <c r="E41" s="323" t="n"/>
      <c r="F41" s="323" t="n"/>
      <c r="G41" s="324" t="n"/>
      <c r="H41" s="322" t="n"/>
      <c r="I41" s="301" t="n"/>
      <c r="J41" s="301" t="n"/>
    </row>
    <row r="42" ht="15" customHeight="1" s="221">
      <c r="A42" s="313" t="n"/>
      <c r="B42" s="318" t="n"/>
      <c r="C42" s="316" t="n"/>
      <c r="D42" s="316" t="n"/>
      <c r="E42" s="317" t="n"/>
      <c r="F42" s="317" t="n"/>
      <c r="G42" s="318" t="n"/>
      <c r="H42" s="316" t="n"/>
      <c r="I42" s="301" t="n"/>
      <c r="J42" s="301" t="n"/>
    </row>
    <row r="43" ht="15" customHeight="1" s="221">
      <c r="A43" s="319" t="n"/>
      <c r="B43" s="324" t="n"/>
      <c r="C43" s="322" t="n"/>
      <c r="D43" s="322" t="n"/>
      <c r="E43" s="323" t="n"/>
      <c r="F43" s="323" t="n"/>
      <c r="G43" s="324" t="n"/>
      <c r="H43" s="322" t="n"/>
      <c r="I43" s="301" t="n"/>
      <c r="J43" s="301" t="n"/>
    </row>
    <row r="44" ht="15" customHeight="1" s="221">
      <c r="A44" s="313" t="n"/>
      <c r="B44" s="318" t="n"/>
      <c r="C44" s="316" t="n"/>
      <c r="D44" s="316" t="n"/>
      <c r="E44" s="317" t="n"/>
      <c r="F44" s="317" t="n"/>
      <c r="G44" s="318" t="n"/>
      <c r="H44" s="316" t="n"/>
      <c r="I44" s="301" t="n"/>
      <c r="J44" s="301" t="n"/>
    </row>
    <row r="45" ht="15" customHeight="1" s="221">
      <c r="A45" s="319" t="n"/>
      <c r="B45" s="324" t="n"/>
      <c r="C45" s="322" t="n"/>
      <c r="D45" s="322" t="n"/>
      <c r="E45" s="323" t="n"/>
      <c r="F45" s="323" t="n"/>
      <c r="G45" s="324" t="n"/>
      <c r="H45" s="322" t="n"/>
      <c r="I45" s="301" t="n"/>
      <c r="J45" s="301" t="n"/>
    </row>
    <row r="46" ht="15" customHeight="1" s="221">
      <c r="A46" s="313" t="n"/>
      <c r="B46" s="318" t="n"/>
      <c r="C46" s="316" t="n"/>
      <c r="D46" s="316" t="n"/>
      <c r="E46" s="317" t="n"/>
      <c r="F46" s="317" t="n"/>
      <c r="G46" s="318" t="n"/>
      <c r="H46" s="316" t="n"/>
      <c r="I46" s="301" t="n"/>
      <c r="J46" s="301" t="n"/>
    </row>
    <row r="47" ht="15" customHeight="1" s="221">
      <c r="A47" s="319" t="n"/>
      <c r="B47" s="324" t="n"/>
      <c r="C47" s="322" t="n"/>
      <c r="D47" s="322" t="n"/>
      <c r="E47" s="323" t="n"/>
      <c r="F47" s="323" t="n"/>
      <c r="G47" s="324" t="n"/>
      <c r="H47" s="322" t="n"/>
      <c r="I47" s="301" t="n"/>
      <c r="J47" s="301" t="n"/>
    </row>
    <row r="48" ht="15" customHeight="1" s="221">
      <c r="A48" s="313" t="n"/>
      <c r="B48" s="318" t="n"/>
      <c r="C48" s="316" t="n"/>
      <c r="D48" s="316" t="n"/>
      <c r="E48" s="317" t="n"/>
      <c r="F48" s="317" t="n"/>
      <c r="G48" s="318" t="n"/>
      <c r="H48" s="316" t="n"/>
      <c r="I48" s="301" t="n"/>
      <c r="J48" s="301" t="n"/>
    </row>
    <row r="49" ht="15" customHeight="1" s="221">
      <c r="A49" s="319" t="n"/>
      <c r="B49" s="324" t="n"/>
      <c r="C49" s="322" t="n"/>
      <c r="D49" s="322" t="n"/>
      <c r="E49" s="323" t="n"/>
      <c r="F49" s="323" t="n"/>
      <c r="G49" s="324" t="n"/>
      <c r="H49" s="322" t="n"/>
      <c r="I49" s="301" t="n"/>
      <c r="J49" s="301" t="n"/>
    </row>
    <row r="50" ht="15" customHeight="1" s="221">
      <c r="A50" s="313" t="n"/>
      <c r="B50" s="318" t="n"/>
      <c r="C50" s="316" t="n"/>
      <c r="D50" s="316" t="n"/>
      <c r="E50" s="317" t="n"/>
      <c r="F50" s="317" t="n"/>
      <c r="G50" s="318" t="n"/>
      <c r="H50" s="316" t="n"/>
      <c r="I50" s="301" t="n"/>
      <c r="J50" s="301" t="n"/>
    </row>
    <row r="51" ht="15" customHeight="1" s="221">
      <c r="A51" s="319" t="n"/>
      <c r="B51" s="324" t="n"/>
      <c r="C51" s="322" t="n"/>
      <c r="D51" s="322" t="n"/>
      <c r="E51" s="323" t="n"/>
      <c r="F51" s="323" t="n"/>
      <c r="G51" s="324" t="n"/>
      <c r="H51" s="322" t="n"/>
      <c r="I51" s="301" t="n"/>
      <c r="J51" s="301" t="n"/>
    </row>
    <row r="52" ht="15" customHeight="1" s="221">
      <c r="A52" s="313" t="n"/>
      <c r="B52" s="318" t="n"/>
      <c r="C52" s="316" t="n"/>
      <c r="D52" s="316" t="n"/>
      <c r="E52" s="317" t="n"/>
      <c r="F52" s="317" t="n"/>
      <c r="G52" s="318" t="n"/>
      <c r="H52" s="316" t="n"/>
      <c r="I52" s="301" t="n"/>
      <c r="J52" s="301" t="n"/>
    </row>
    <row r="53" ht="15" customHeight="1" s="221">
      <c r="A53" s="319" t="n"/>
      <c r="B53" s="324" t="n"/>
      <c r="C53" s="322" t="n"/>
      <c r="D53" s="322" t="n"/>
      <c r="E53" s="323" t="n"/>
      <c r="F53" s="323" t="n"/>
      <c r="G53" s="324" t="n"/>
      <c r="H53" s="322" t="n"/>
      <c r="I53" s="301" t="n"/>
      <c r="J53" s="301" t="n"/>
    </row>
    <row r="54" ht="15" customHeight="1" s="221">
      <c r="A54" s="313" t="n"/>
      <c r="B54" s="318" t="n"/>
      <c r="C54" s="316" t="n"/>
      <c r="D54" s="316" t="n"/>
      <c r="E54" s="317" t="n"/>
      <c r="F54" s="317" t="n"/>
      <c r="G54" s="318" t="n"/>
      <c r="H54" s="316" t="n"/>
      <c r="I54" s="301" t="n"/>
      <c r="J54" s="301" t="n"/>
    </row>
    <row r="55" ht="15" customHeight="1" s="221">
      <c r="A55" s="319" t="n"/>
      <c r="B55" s="324" t="n"/>
      <c r="C55" s="322" t="n"/>
      <c r="D55" s="322" t="n"/>
      <c r="E55" s="323" t="n"/>
      <c r="F55" s="323" t="n"/>
      <c r="G55" s="324" t="n"/>
      <c r="H55" s="322" t="n"/>
      <c r="I55" s="301" t="n"/>
      <c r="J55" s="301" t="n"/>
    </row>
    <row r="56" ht="15" customHeight="1" s="221">
      <c r="A56" s="313" t="n"/>
      <c r="B56" s="318" t="n"/>
      <c r="C56" s="316" t="n"/>
      <c r="D56" s="316" t="n"/>
      <c r="E56" s="317" t="n"/>
      <c r="F56" s="317" t="n"/>
      <c r="G56" s="318" t="n"/>
      <c r="H56" s="316" t="n"/>
      <c r="I56" s="301" t="n"/>
      <c r="J56" s="301" t="n"/>
    </row>
    <row r="57" ht="15" customHeight="1" s="221">
      <c r="A57" s="319" t="n"/>
      <c r="B57" s="324" t="n"/>
      <c r="C57" s="322" t="n"/>
      <c r="D57" s="322" t="n"/>
      <c r="E57" s="323" t="n"/>
      <c r="F57" s="323" t="n"/>
      <c r="G57" s="324" t="n"/>
      <c r="H57" s="322" t="n"/>
      <c r="I57" s="301" t="n"/>
      <c r="J57" s="301" t="n"/>
    </row>
    <row r="58" ht="15" customHeight="1" s="221">
      <c r="A58" s="313" t="n"/>
      <c r="B58" s="318" t="n"/>
      <c r="C58" s="316" t="n"/>
      <c r="D58" s="316" t="n"/>
      <c r="E58" s="317" t="n"/>
      <c r="F58" s="317" t="n"/>
      <c r="G58" s="318" t="n"/>
      <c r="H58" s="316" t="n"/>
      <c r="I58" s="301" t="n"/>
      <c r="J58" s="301" t="n"/>
    </row>
    <row r="59" ht="15" customHeight="1" s="221">
      <c r="A59" s="319" t="n"/>
      <c r="B59" s="324" t="n"/>
      <c r="C59" s="322" t="n"/>
      <c r="D59" s="322" t="n"/>
      <c r="E59" s="323" t="n"/>
      <c r="F59" s="323" t="n"/>
      <c r="G59" s="324" t="n"/>
      <c r="H59" s="322" t="n"/>
      <c r="I59" s="301" t="n"/>
      <c r="J59" s="301" t="n"/>
    </row>
    <row r="60" ht="15" customHeight="1" s="221">
      <c r="A60" s="313" t="n"/>
      <c r="B60" s="318" t="n"/>
      <c r="C60" s="316" t="n"/>
      <c r="D60" s="316" t="n"/>
      <c r="E60" s="317" t="n"/>
      <c r="F60" s="317" t="n"/>
      <c r="G60" s="318" t="n"/>
      <c r="H60" s="316" t="n"/>
      <c r="I60" s="301" t="n"/>
      <c r="J60" s="301" t="n"/>
    </row>
    <row r="61" ht="15" customHeight="1" s="221">
      <c r="A61" s="319" t="n"/>
      <c r="B61" s="324" t="n"/>
      <c r="C61" s="322" t="n"/>
      <c r="D61" s="322" t="n"/>
      <c r="E61" s="323" t="n"/>
      <c r="F61" s="323" t="n"/>
      <c r="G61" s="324" t="n"/>
      <c r="H61" s="322" t="n"/>
      <c r="I61" s="301" t="n"/>
      <c r="J61" s="301" t="n"/>
    </row>
    <row r="62" ht="15" customHeight="1" s="221">
      <c r="A62" s="313" t="n"/>
      <c r="B62" s="318" t="n"/>
      <c r="C62" s="316" t="n"/>
      <c r="D62" s="316" t="n"/>
      <c r="E62" s="317" t="n"/>
      <c r="F62" s="317" t="n"/>
      <c r="G62" s="318" t="n"/>
      <c r="H62" s="316" t="n"/>
      <c r="I62" s="301" t="n"/>
      <c r="J62" s="301" t="n"/>
    </row>
    <row r="63" ht="15" customHeight="1" s="221">
      <c r="A63" s="319" t="n"/>
      <c r="B63" s="324" t="n"/>
      <c r="C63" s="322" t="n"/>
      <c r="D63" s="322" t="n"/>
      <c r="E63" s="323" t="n"/>
      <c r="F63" s="323" t="n"/>
      <c r="G63" s="324" t="n"/>
      <c r="H63" s="322" t="n"/>
      <c r="I63" s="301" t="n"/>
      <c r="J63" s="301" t="n"/>
    </row>
    <row r="64" ht="15" customHeight="1" s="221">
      <c r="A64" s="313" t="n"/>
      <c r="B64" s="318" t="n"/>
      <c r="C64" s="316" t="n"/>
      <c r="D64" s="316" t="n"/>
      <c r="E64" s="317" t="n"/>
      <c r="F64" s="317" t="n"/>
      <c r="G64" s="318" t="n"/>
      <c r="H64" s="316" t="n"/>
      <c r="I64" s="301" t="n"/>
      <c r="J64" s="301" t="n"/>
    </row>
    <row r="65" ht="15" customHeight="1" s="221">
      <c r="A65" s="319" t="n"/>
      <c r="B65" s="324" t="n"/>
      <c r="C65" s="322" t="n"/>
      <c r="D65" s="322" t="n"/>
      <c r="E65" s="323" t="n"/>
      <c r="F65" s="323" t="n"/>
      <c r="G65" s="324" t="n"/>
      <c r="H65" s="322" t="n"/>
      <c r="I65" s="301" t="n"/>
      <c r="J65" s="301" t="n"/>
    </row>
    <row r="66" ht="15" customHeight="1" s="221">
      <c r="A66" s="313" t="n"/>
      <c r="B66" s="318" t="n"/>
      <c r="C66" s="316" t="n"/>
      <c r="D66" s="316" t="n"/>
      <c r="E66" s="317" t="n"/>
      <c r="F66" s="317" t="n"/>
      <c r="G66" s="318" t="n"/>
      <c r="H66" s="316" t="n"/>
      <c r="I66" s="301" t="n"/>
      <c r="J66" s="301" t="n"/>
    </row>
    <row r="67" ht="15" customHeight="1" s="221">
      <c r="A67" s="319" t="n"/>
      <c r="B67" s="324" t="n"/>
      <c r="C67" s="322" t="n"/>
      <c r="D67" s="322" t="n"/>
      <c r="E67" s="323" t="n"/>
      <c r="F67" s="323" t="n"/>
      <c r="G67" s="324" t="n"/>
      <c r="H67" s="322" t="n"/>
      <c r="I67" s="301" t="n"/>
      <c r="J67" s="301" t="n"/>
    </row>
    <row r="68" ht="15" customHeight="1" s="221">
      <c r="A68" s="313" t="n"/>
      <c r="B68" s="318" t="n"/>
      <c r="C68" s="316" t="n"/>
      <c r="D68" s="316" t="n"/>
      <c r="E68" s="317" t="n"/>
      <c r="F68" s="317" t="n"/>
      <c r="G68" s="318" t="n"/>
      <c r="H68" s="316" t="n"/>
      <c r="I68" s="301" t="n"/>
      <c r="J68" s="301" t="n"/>
    </row>
    <row r="69" ht="15" customHeight="1" s="221">
      <c r="A69" s="319" t="n"/>
      <c r="B69" s="324" t="n"/>
      <c r="C69" s="322" t="n"/>
      <c r="D69" s="322" t="n"/>
      <c r="E69" s="323" t="n"/>
      <c r="F69" s="323" t="n"/>
      <c r="G69" s="324" t="n"/>
      <c r="H69" s="322" t="n"/>
      <c r="I69" s="301" t="n"/>
      <c r="J69" s="301" t="n"/>
    </row>
    <row r="70" ht="15" customHeight="1" s="221">
      <c r="A70" s="313" t="n"/>
      <c r="B70" s="318" t="n"/>
      <c r="C70" s="316" t="n"/>
      <c r="D70" s="316" t="n"/>
      <c r="E70" s="317" t="n"/>
      <c r="F70" s="317" t="n"/>
      <c r="G70" s="318" t="n"/>
      <c r="H70" s="316" t="n"/>
      <c r="I70" s="301" t="n"/>
      <c r="J70" s="301" t="n"/>
    </row>
    <row r="71" ht="15" customHeight="1" s="221">
      <c r="A71" s="319" t="n"/>
      <c r="B71" s="324" t="n"/>
      <c r="C71" s="322" t="n"/>
      <c r="D71" s="322" t="n"/>
      <c r="E71" s="323" t="n"/>
      <c r="F71" s="323" t="n"/>
      <c r="G71" s="324" t="n"/>
      <c r="H71" s="322" t="n"/>
      <c r="I71" s="301" t="n"/>
      <c r="J71" s="301" t="n"/>
    </row>
    <row r="72" ht="15" customHeight="1" s="221">
      <c r="A72" s="313" t="n"/>
      <c r="B72" s="318" t="n"/>
      <c r="C72" s="316" t="n"/>
      <c r="D72" s="316" t="n"/>
      <c r="E72" s="317" t="n"/>
      <c r="F72" s="317" t="n"/>
      <c r="G72" s="318" t="n"/>
      <c r="H72" s="316" t="n"/>
      <c r="I72" s="301" t="n"/>
      <c r="J72" s="301" t="n"/>
    </row>
    <row r="73" ht="15" customHeight="1" s="221">
      <c r="A73" s="319" t="n"/>
      <c r="B73" s="324" t="n"/>
      <c r="C73" s="322" t="n"/>
      <c r="D73" s="322" t="n"/>
      <c r="E73" s="323" t="n"/>
      <c r="F73" s="323" t="n"/>
      <c r="G73" s="324" t="n"/>
      <c r="H73" s="322" t="n"/>
      <c r="I73" s="301" t="n"/>
      <c r="J73" s="301" t="n"/>
    </row>
    <row r="74" ht="15" customHeight="1" s="221">
      <c r="A74" s="313" t="n"/>
      <c r="B74" s="318" t="n"/>
      <c r="C74" s="316" t="n"/>
      <c r="D74" s="316" t="n"/>
      <c r="E74" s="317" t="n"/>
      <c r="F74" s="317" t="n"/>
      <c r="G74" s="318" t="n"/>
      <c r="H74" s="316" t="n"/>
      <c r="I74" s="301" t="n"/>
      <c r="J74" s="301" t="n"/>
    </row>
    <row r="75" ht="15" customHeight="1" s="221">
      <c r="A75" s="319" t="n"/>
      <c r="B75" s="324" t="n"/>
      <c r="C75" s="322" t="n"/>
      <c r="D75" s="322" t="n"/>
      <c r="E75" s="323" t="n"/>
      <c r="F75" s="323" t="n"/>
      <c r="G75" s="324" t="n"/>
      <c r="H75" s="322" t="n"/>
      <c r="I75" s="301" t="n"/>
      <c r="J75" s="301" t="n"/>
    </row>
    <row r="76" ht="15" customHeight="1" s="221">
      <c r="A76" s="313" t="n"/>
      <c r="B76" s="318" t="n"/>
      <c r="C76" s="316" t="n"/>
      <c r="D76" s="316" t="n"/>
      <c r="E76" s="317" t="n"/>
      <c r="F76" s="317" t="n"/>
      <c r="G76" s="318" t="n"/>
      <c r="H76" s="316" t="n"/>
      <c r="I76" s="301" t="n"/>
      <c r="J76" s="301" t="n"/>
    </row>
    <row r="77" ht="15" customHeight="1" s="221">
      <c r="A77" s="319" t="n"/>
      <c r="B77" s="324" t="n"/>
      <c r="C77" s="322" t="n"/>
      <c r="D77" s="322" t="n"/>
      <c r="E77" s="323" t="n"/>
      <c r="F77" s="323" t="n"/>
      <c r="G77" s="324" t="n"/>
      <c r="H77" s="322" t="n"/>
      <c r="I77" s="301" t="n"/>
      <c r="J77" s="301" t="n"/>
    </row>
    <row r="78" ht="15" customHeight="1" s="221">
      <c r="A78" s="313" t="n"/>
      <c r="B78" s="318" t="n"/>
      <c r="C78" s="316" t="n"/>
      <c r="D78" s="316" t="n"/>
      <c r="E78" s="317" t="n"/>
      <c r="F78" s="317" t="n"/>
      <c r="G78" s="318" t="n"/>
      <c r="H78" s="316" t="n"/>
      <c r="I78" s="301" t="n"/>
      <c r="J78" s="301" t="n"/>
    </row>
    <row r="79" ht="15" customHeight="1" s="221">
      <c r="A79" s="319" t="n"/>
      <c r="B79" s="324" t="n"/>
      <c r="C79" s="322" t="n"/>
      <c r="D79" s="322" t="n"/>
      <c r="E79" s="323" t="n"/>
      <c r="F79" s="323" t="n"/>
      <c r="G79" s="324" t="n"/>
      <c r="H79" s="322" t="n"/>
      <c r="I79" s="301" t="n"/>
      <c r="J79" s="301" t="n"/>
    </row>
    <row r="80" ht="15" customHeight="1" s="221">
      <c r="A80" s="313" t="n"/>
      <c r="B80" s="318" t="n"/>
      <c r="C80" s="316" t="n"/>
      <c r="D80" s="316" t="n"/>
      <c r="E80" s="317" t="n"/>
      <c r="F80" s="317" t="n"/>
      <c r="G80" s="318" t="n"/>
      <c r="H80" s="316" t="n"/>
      <c r="I80" s="301" t="n"/>
      <c r="J80" s="301" t="n"/>
    </row>
    <row r="81" ht="15" customHeight="1" s="221">
      <c r="A81" s="319" t="n"/>
      <c r="B81" s="324" t="n"/>
      <c r="C81" s="322" t="n"/>
      <c r="D81" s="322" t="n"/>
      <c r="E81" s="323" t="n"/>
      <c r="F81" s="323" t="n"/>
      <c r="G81" s="324" t="n"/>
      <c r="H81" s="322" t="n"/>
      <c r="I81" s="301" t="n"/>
      <c r="J81" s="301" t="n"/>
    </row>
    <row r="82" ht="15" customHeight="1" s="221">
      <c r="A82" s="313" t="n"/>
      <c r="B82" s="318" t="n"/>
      <c r="C82" s="316" t="n"/>
      <c r="D82" s="316" t="n"/>
      <c r="E82" s="317" t="n"/>
      <c r="F82" s="317" t="n"/>
      <c r="G82" s="318" t="n"/>
      <c r="H82" s="316" t="n"/>
      <c r="I82" s="301" t="n"/>
      <c r="J82" s="301" t="n"/>
    </row>
    <row r="83" ht="15" customHeight="1" s="221">
      <c r="A83" s="319" t="n"/>
      <c r="B83" s="324" t="n"/>
      <c r="C83" s="322" t="n"/>
      <c r="D83" s="322" t="n"/>
      <c r="E83" s="323" t="n"/>
      <c r="F83" s="323" t="n"/>
      <c r="G83" s="324" t="n"/>
      <c r="H83" s="322" t="n"/>
      <c r="I83" s="301" t="n"/>
      <c r="J83" s="301" t="n"/>
    </row>
    <row r="84" ht="15" customHeight="1" s="221">
      <c r="A84" s="313" t="n"/>
      <c r="B84" s="318" t="n"/>
      <c r="C84" s="316" t="n"/>
      <c r="D84" s="316" t="n"/>
      <c r="E84" s="317" t="n"/>
      <c r="F84" s="317" t="n"/>
      <c r="G84" s="318" t="n"/>
      <c r="H84" s="316" t="n"/>
      <c r="I84" s="301" t="n"/>
      <c r="J84" s="301" t="n"/>
    </row>
    <row r="85" ht="15" customHeight="1" s="221">
      <c r="A85" s="319" t="n"/>
      <c r="B85" s="324" t="n"/>
      <c r="C85" s="322" t="n"/>
      <c r="D85" s="322" t="n"/>
      <c r="E85" s="323" t="n"/>
      <c r="F85" s="323" t="n"/>
      <c r="G85" s="324" t="n"/>
      <c r="H85" s="322" t="n"/>
      <c r="I85" s="301" t="n"/>
      <c r="J85" s="301" t="n"/>
    </row>
    <row r="86" ht="15" customHeight="1" s="221">
      <c r="A86" s="313" t="n"/>
      <c r="B86" s="318" t="n"/>
      <c r="C86" s="316" t="n"/>
      <c r="D86" s="316" t="n"/>
      <c r="E86" s="317" t="n"/>
      <c r="F86" s="317" t="n"/>
      <c r="G86" s="318" t="n"/>
      <c r="H86" s="316" t="n"/>
      <c r="I86" s="301" t="n"/>
      <c r="J86" s="301" t="n"/>
    </row>
    <row r="87" ht="15" customHeight="1" s="221">
      <c r="A87" s="319" t="n"/>
      <c r="B87" s="324" t="n"/>
      <c r="C87" s="322" t="n"/>
      <c r="D87" s="322" t="n"/>
      <c r="E87" s="323" t="n"/>
      <c r="F87" s="323" t="n"/>
      <c r="G87" s="324" t="n"/>
      <c r="H87" s="322" t="n"/>
      <c r="I87" s="301" t="n"/>
      <c r="J87" s="301" t="n"/>
    </row>
    <row r="88" ht="15" customHeight="1" s="221">
      <c r="A88" s="313" t="n"/>
      <c r="B88" s="318" t="n"/>
      <c r="C88" s="316" t="n"/>
      <c r="D88" s="316" t="n"/>
      <c r="E88" s="317" t="n"/>
      <c r="F88" s="317" t="n"/>
      <c r="G88" s="318" t="n"/>
      <c r="H88" s="316" t="n"/>
      <c r="I88" s="301" t="n"/>
      <c r="J88" s="301" t="n"/>
    </row>
    <row r="89" ht="15" customHeight="1" s="221">
      <c r="A89" s="319" t="n"/>
      <c r="B89" s="324" t="n"/>
      <c r="C89" s="322" t="n"/>
      <c r="D89" s="322" t="n"/>
      <c r="E89" s="323" t="n"/>
      <c r="F89" s="323" t="n"/>
      <c r="G89" s="324" t="n"/>
      <c r="H89" s="322" t="n"/>
      <c r="I89" s="301" t="n"/>
      <c r="J89" s="301" t="n"/>
    </row>
    <row r="90" ht="15" customHeight="1" s="221">
      <c r="A90" s="313" t="n"/>
      <c r="B90" s="318" t="n"/>
      <c r="C90" s="316" t="n"/>
      <c r="D90" s="316" t="n"/>
      <c r="E90" s="317" t="n"/>
      <c r="F90" s="317" t="n"/>
      <c r="G90" s="318" t="n"/>
      <c r="H90" s="316" t="n"/>
      <c r="I90" s="301" t="n"/>
      <c r="J90" s="301" t="n"/>
    </row>
    <row r="91" ht="15" customHeight="1" s="221">
      <c r="A91" s="319" t="n"/>
      <c r="B91" s="324" t="n"/>
      <c r="C91" s="322" t="n"/>
      <c r="D91" s="322" t="n"/>
      <c r="E91" s="323" t="n"/>
      <c r="F91" s="323" t="n"/>
      <c r="G91" s="324" t="n"/>
      <c r="H91" s="322" t="n"/>
      <c r="I91" s="301" t="n"/>
      <c r="J91" s="301" t="n"/>
    </row>
    <row r="92" ht="15" customHeight="1" s="221">
      <c r="A92" s="313" t="n"/>
      <c r="B92" s="318" t="n"/>
      <c r="C92" s="316" t="n"/>
      <c r="D92" s="316" t="n"/>
      <c r="E92" s="317" t="n"/>
      <c r="F92" s="317" t="n"/>
      <c r="G92" s="318" t="n"/>
      <c r="H92" s="316" t="n"/>
      <c r="I92" s="301" t="n"/>
      <c r="J92" s="301" t="n"/>
    </row>
    <row r="93" ht="15" customHeight="1" s="221">
      <c r="A93" s="319" t="n"/>
      <c r="B93" s="324" t="n"/>
      <c r="C93" s="322" t="n"/>
      <c r="D93" s="322" t="n"/>
      <c r="E93" s="323" t="n"/>
      <c r="F93" s="323" t="n"/>
      <c r="G93" s="324" t="n"/>
      <c r="H93" s="322" t="n"/>
      <c r="I93" s="301" t="n"/>
      <c r="J93" s="301" t="n"/>
    </row>
    <row r="94" ht="15" customHeight="1" s="221">
      <c r="A94" s="313" t="n"/>
      <c r="B94" s="318" t="n"/>
      <c r="C94" s="316" t="n"/>
      <c r="D94" s="316" t="n"/>
      <c r="E94" s="317" t="n"/>
      <c r="F94" s="317" t="n"/>
      <c r="G94" s="318" t="n"/>
      <c r="H94" s="316" t="n"/>
      <c r="I94" s="301" t="n"/>
      <c r="J94" s="301" t="n"/>
    </row>
    <row r="95" ht="15" customHeight="1" s="221">
      <c r="A95" s="319" t="n"/>
      <c r="B95" s="324" t="n"/>
      <c r="C95" s="322" t="n"/>
      <c r="D95" s="322" t="n"/>
      <c r="E95" s="323" t="n"/>
      <c r="F95" s="323" t="n"/>
      <c r="G95" s="324" t="n"/>
      <c r="H95" s="322" t="n"/>
      <c r="I95" s="301" t="n"/>
      <c r="J95" s="301" t="n"/>
    </row>
    <row r="96" ht="15" customHeight="1" s="221">
      <c r="A96" s="313" t="n"/>
      <c r="B96" s="318" t="n"/>
      <c r="C96" s="316" t="n"/>
      <c r="D96" s="316" t="n"/>
      <c r="E96" s="317" t="n"/>
      <c r="F96" s="317" t="n"/>
      <c r="G96" s="318" t="n"/>
      <c r="H96" s="316" t="n"/>
      <c r="I96" s="301" t="n"/>
      <c r="J96" s="301" t="n"/>
    </row>
    <row r="97" ht="15" customHeight="1" s="221">
      <c r="A97" s="319" t="n"/>
      <c r="B97" s="324" t="n"/>
      <c r="C97" s="322" t="n"/>
      <c r="D97" s="322" t="n"/>
      <c r="E97" s="323" t="n"/>
      <c r="F97" s="323" t="n"/>
      <c r="G97" s="324" t="n"/>
      <c r="H97" s="322" t="n"/>
      <c r="I97" s="301" t="n"/>
      <c r="J97" s="301" t="n"/>
    </row>
    <row r="98" ht="15" customHeight="1" s="221">
      <c r="A98" s="313" t="n"/>
      <c r="B98" s="318" t="n"/>
      <c r="C98" s="316" t="n"/>
      <c r="D98" s="316" t="n"/>
      <c r="E98" s="317" t="n"/>
      <c r="F98" s="317" t="n"/>
      <c r="G98" s="318" t="n"/>
      <c r="H98" s="316" t="n"/>
      <c r="I98" s="301" t="n"/>
      <c r="J98" s="301" t="n"/>
    </row>
    <row r="99" ht="15" customHeight="1" s="221">
      <c r="A99" s="319" t="n"/>
      <c r="B99" s="324" t="n"/>
      <c r="C99" s="322" t="n"/>
      <c r="D99" s="322" t="n"/>
      <c r="E99" s="323" t="n"/>
      <c r="F99" s="323" t="n"/>
      <c r="G99" s="324" t="n"/>
      <c r="H99" s="322" t="n"/>
      <c r="I99" s="301" t="n"/>
      <c r="J99" s="301" t="n"/>
    </row>
    <row r="100" ht="15" customHeight="1" s="221">
      <c r="A100" s="313" t="n"/>
      <c r="B100" s="318" t="n"/>
      <c r="C100" s="316" t="n"/>
      <c r="D100" s="316" t="n"/>
      <c r="E100" s="317" t="n"/>
      <c r="F100" s="317" t="n"/>
      <c r="G100" s="318" t="n"/>
      <c r="H100" s="316" t="n"/>
      <c r="I100" s="301" t="n"/>
      <c r="J100" s="301" t="n"/>
    </row>
    <row r="101" ht="15" customHeight="1" s="221">
      <c r="A101" s="319" t="n"/>
      <c r="B101" s="324" t="n"/>
      <c r="C101" s="322" t="n"/>
      <c r="D101" s="322" t="n"/>
      <c r="E101" s="323" t="n"/>
      <c r="F101" s="323" t="n"/>
      <c r="G101" s="324" t="n"/>
      <c r="H101" s="322" t="n"/>
      <c r="I101" s="301" t="n"/>
      <c r="J101" s="301" t="n"/>
    </row>
    <row r="102" ht="15" customHeight="1" s="221">
      <c r="A102" s="313" t="n"/>
      <c r="B102" s="318" t="n"/>
      <c r="C102" s="316" t="n"/>
      <c r="D102" s="316" t="n"/>
      <c r="E102" s="317" t="n"/>
      <c r="F102" s="317" t="n"/>
      <c r="G102" s="318" t="n"/>
      <c r="H102" s="316" t="n"/>
      <c r="I102" s="301" t="n"/>
      <c r="J102" s="301" t="n"/>
    </row>
    <row r="103" ht="15" customHeight="1" s="221">
      <c r="A103" s="319" t="n"/>
      <c r="B103" s="324" t="n"/>
      <c r="C103" s="322" t="n"/>
      <c r="D103" s="322" t="n"/>
      <c r="E103" s="323" t="n"/>
      <c r="F103" s="323" t="n"/>
      <c r="G103" s="324" t="n"/>
      <c r="H103" s="322" t="n"/>
      <c r="I103" s="301" t="n"/>
      <c r="J103" s="301" t="n"/>
    </row>
    <row r="104" ht="15" customHeight="1" s="221">
      <c r="A104" s="325" t="inlineStr">
        <is>
          <t>TOTALES</t>
        </is>
      </c>
      <c r="E104" s="326">
        <f>SUM(E4:E103)</f>
        <v/>
      </c>
      <c r="F104" s="327">
        <f>SUM(F4:F103)</f>
        <v/>
      </c>
      <c r="G104" s="301" t="n"/>
      <c r="H104" s="301" t="n"/>
      <c r="I104" s="301" t="n"/>
      <c r="J104" s="301" t="n"/>
    </row>
    <row r="105" ht="18" customHeight="1" s="221">
      <c r="A105" s="301" t="n"/>
      <c r="B105" s="301" t="n"/>
      <c r="C105" s="301" t="n"/>
      <c r="D105" s="301" t="n"/>
      <c r="E105" s="328" t="n"/>
      <c r="F105" s="301" t="n"/>
      <c r="G105" s="301" t="n"/>
      <c r="H105" s="301" t="n"/>
      <c r="I105" s="301" t="n"/>
      <c r="J105" s="301" t="n"/>
    </row>
    <row r="106" ht="15" customHeight="1" s="221">
      <c r="A106" s="310" t="inlineStr">
        <is>
          <t>📊 RESUMEN DEL MES</t>
        </is>
      </c>
      <c r="D106" s="301" t="n"/>
      <c r="E106" s="328" t="n"/>
      <c r="F106" s="301" t="n"/>
      <c r="G106" s="301" t="n"/>
      <c r="H106" s="301" t="n"/>
      <c r="I106" s="301" t="n"/>
      <c r="J106" s="301" t="n"/>
    </row>
    <row r="107" ht="15" customHeight="1" s="221">
      <c r="A107" s="223" t="inlineStr">
        <is>
          <t>INGRESOS:</t>
        </is>
      </c>
      <c r="B107" s="301" t="n"/>
      <c r="C107" s="328">
        <f>SUMIF(B4:B103,"Ingreso NT",E4:E103)</f>
        <v/>
      </c>
      <c r="D107" s="301" t="n"/>
      <c r="E107" s="328" t="n"/>
      <c r="F107" s="301" t="n"/>
      <c r="G107" s="301" t="n"/>
      <c r="H107" s="301" t="n"/>
      <c r="I107" s="301" t="n"/>
      <c r="J107" s="301" t="n"/>
    </row>
    <row r="108" ht="15" customHeight="1" s="221">
      <c r="A108" s="301" t="inlineStr">
        <is>
          <t xml:space="preserve">  Ingreso NT:</t>
        </is>
      </c>
      <c r="B108" s="301" t="n"/>
      <c r="C108" s="329">
        <f>SUMIF(B4:B103,"Ingreso NT",E4:E103)</f>
        <v/>
      </c>
      <c r="D108" s="301" t="n"/>
      <c r="E108" s="328" t="n"/>
      <c r="F108" s="301" t="n"/>
      <c r="G108" s="301" t="n"/>
      <c r="H108" s="301" t="n"/>
      <c r="I108" s="301" t="n"/>
      <c r="J108" s="301" t="n"/>
    </row>
    <row r="109" ht="15" customHeight="1" s="221">
      <c r="A109" s="301" t="inlineStr">
        <is>
          <t xml:space="preserve">  Ingreso Marco:</t>
        </is>
      </c>
      <c r="B109" s="301" t="n"/>
      <c r="C109" s="330">
        <f>SUMIF(B4:B103,"Ingreso Marco",E4:E103)</f>
        <v/>
      </c>
      <c r="D109" s="301" t="n"/>
      <c r="E109" s="328" t="n"/>
      <c r="F109" s="301" t="n"/>
      <c r="G109" s="301" t="n"/>
      <c r="H109" s="301" t="n"/>
      <c r="I109" s="301" t="n"/>
      <c r="J109" s="301" t="n"/>
    </row>
    <row r="110" ht="15" customHeight="1" s="221">
      <c r="A110" s="301" t="inlineStr">
        <is>
          <t xml:space="preserve">  Ingreso Clara:</t>
        </is>
      </c>
      <c r="B110" s="301" t="n"/>
      <c r="C110" s="331">
        <f>SUMIF(B4:B103,"Ingreso Clara",E4:E103)</f>
        <v/>
      </c>
      <c r="D110" s="301" t="n"/>
      <c r="E110" s="328" t="n"/>
      <c r="F110" s="301" t="n"/>
      <c r="G110" s="301" t="n"/>
      <c r="H110" s="301" t="n"/>
      <c r="I110" s="301" t="n"/>
      <c r="J110" s="301" t="n"/>
    </row>
    <row r="111" ht="15" customHeight="1" s="221">
      <c r="A111" s="301" t="inlineStr">
        <is>
          <t xml:space="preserve">  Devolución Fam → NT:</t>
        </is>
      </c>
      <c r="B111" s="301" t="n"/>
      <c r="C111" s="332">
        <f>SUMIF(B4:B103,"Devolución Familia → NT",E4:E103)</f>
        <v/>
      </c>
      <c r="D111" s="301" t="n"/>
      <c r="E111" s="328" t="n"/>
      <c r="F111" s="301" t="n"/>
      <c r="G111" s="301" t="n"/>
      <c r="H111" s="301" t="n"/>
      <c r="I111" s="301" t="n"/>
      <c r="J111" s="301" t="n"/>
    </row>
    <row r="112" ht="15" customHeight="1" s="221">
      <c r="A112" s="223" t="inlineStr">
        <is>
          <t xml:space="preserve">  TOTAL INGRESOS:</t>
        </is>
      </c>
      <c r="B112" s="301" t="n"/>
      <c r="C112" s="333">
        <f>SUM(C108:C111)</f>
        <v/>
      </c>
      <c r="D112" s="301" t="n"/>
      <c r="E112" s="328" t="n"/>
      <c r="F112" s="301" t="n"/>
      <c r="G112" s="301" t="n"/>
      <c r="H112" s="301" t="n"/>
      <c r="I112" s="301" t="n"/>
      <c r="J112" s="301" t="n"/>
    </row>
    <row r="113" ht="15" customHeight="1" s="221">
      <c r="A113" s="301" t="inlineStr">
        <is>
          <t>EGRESOS:</t>
        </is>
      </c>
      <c r="B113" s="301" t="n"/>
      <c r="C113" s="301" t="n"/>
      <c r="D113" s="301" t="n"/>
      <c r="E113" s="328" t="n"/>
      <c r="F113" s="301" t="n"/>
      <c r="G113" s="301" t="n"/>
      <c r="H113" s="301" t="n"/>
      <c r="I113" s="301" t="n"/>
      <c r="J113" s="301" t="n"/>
    </row>
    <row r="114" ht="15" customHeight="1" s="221">
      <c r="A114" s="223" t="inlineStr">
        <is>
          <t>EGRESOS:</t>
        </is>
      </c>
      <c r="B114" s="301" t="n"/>
      <c r="C114" s="328">
        <f>SUMIF(B4:B103,"Egreso NT",F4:F103)</f>
        <v/>
      </c>
      <c r="D114" s="301" t="n"/>
      <c r="E114" s="328" t="n"/>
      <c r="F114" s="301" t="n"/>
      <c r="G114" s="301" t="n"/>
      <c r="H114" s="301" t="n"/>
      <c r="I114" s="301" t="n"/>
      <c r="J114" s="301" t="n"/>
    </row>
    <row r="115" ht="15" customHeight="1" s="221">
      <c r="A115" s="301" t="inlineStr">
        <is>
          <t xml:space="preserve">  Egreso NT:</t>
        </is>
      </c>
      <c r="B115" s="301" t="n"/>
      <c r="C115" s="334">
        <f>SUMIF(B4:B103,"Egreso NT",F4:F103)</f>
        <v/>
      </c>
      <c r="D115" s="301" t="n"/>
      <c r="E115" s="328" t="n"/>
      <c r="F115" s="301" t="n"/>
      <c r="G115" s="301" t="n"/>
      <c r="H115" s="301" t="n"/>
      <c r="I115" s="301" t="n"/>
      <c r="J115" s="301" t="n"/>
    </row>
    <row r="116" ht="15" customHeight="1" s="221">
      <c r="A116" s="301" t="inlineStr">
        <is>
          <t xml:space="preserve">  Egreso Familiar:</t>
        </is>
      </c>
      <c r="B116" s="301" t="n"/>
      <c r="C116" s="335">
        <f>SUMIF(B4:B103,"Egreso Familiar",F4:F103)</f>
        <v/>
      </c>
      <c r="D116" s="301" t="n"/>
      <c r="E116" s="328" t="n"/>
      <c r="F116" s="301" t="n"/>
      <c r="G116" s="301" t="n"/>
      <c r="H116" s="301" t="n"/>
      <c r="I116" s="301" t="n"/>
      <c r="J116" s="301" t="n"/>
    </row>
    <row r="117" ht="15" customHeight="1" s="221">
      <c r="A117" s="301" t="inlineStr">
        <is>
          <t xml:space="preserve">  Préstamo NT → Fam:</t>
        </is>
      </c>
      <c r="B117" s="301" t="n"/>
      <c r="C117" s="336">
        <f>SUMIF(B4:B103,"Préstamo NT → Familia",F4:F103)</f>
        <v/>
      </c>
      <c r="D117" s="301" t="n"/>
      <c r="E117" s="328" t="n"/>
      <c r="F117" s="301" t="n"/>
      <c r="G117" s="301" t="n"/>
      <c r="H117" s="301" t="n"/>
      <c r="I117" s="301" t="n"/>
      <c r="J117" s="301" t="n"/>
    </row>
    <row r="118" ht="15" customHeight="1" s="221">
      <c r="A118" s="223" t="inlineStr">
        <is>
          <t xml:space="preserve">  TOTAL EGRESOS:</t>
        </is>
      </c>
      <c r="B118" s="301" t="n"/>
      <c r="C118" s="337">
        <f>SUM(C115:C117)</f>
        <v/>
      </c>
      <c r="D118" s="301" t="n"/>
      <c r="E118" s="328" t="n"/>
      <c r="F118" s="301" t="n"/>
      <c r="G118" s="301" t="n"/>
      <c r="H118" s="301" t="n"/>
      <c r="I118" s="301" t="n"/>
      <c r="J118" s="301" t="n"/>
    </row>
    <row r="119" ht="15" customHeight="1" s="221">
      <c r="A119" s="301" t="n"/>
      <c r="B119" s="301" t="n"/>
      <c r="C119" s="301" t="n"/>
      <c r="D119" s="301" t="n"/>
      <c r="E119" s="328" t="n"/>
      <c r="F119" s="301" t="n"/>
      <c r="G119" s="301" t="n"/>
      <c r="H119" s="301" t="n"/>
      <c r="I119" s="301" t="n"/>
      <c r="J119" s="301" t="n"/>
    </row>
    <row r="120" ht="15" customHeight="1" s="221">
      <c r="A120" s="223" t="inlineStr">
        <is>
          <t>SALDO PRÉSTAMO NT → FAM:</t>
        </is>
      </c>
      <c r="B120" s="301" t="n"/>
      <c r="C120" s="338">
        <f>C117-C111</f>
        <v/>
      </c>
      <c r="D120" s="301" t="n"/>
      <c r="E120" s="328" t="n"/>
      <c r="F120" s="301" t="n"/>
      <c r="G120" s="301" t="n"/>
      <c r="H120" s="301" t="n"/>
      <c r="I120" s="301" t="n"/>
      <c r="J120" s="301" t="n"/>
    </row>
    <row r="121" ht="15" customHeight="1" s="221">
      <c r="A121" s="339" t="inlineStr">
        <is>
          <t>(Prestado - Devuelto)</t>
        </is>
      </c>
      <c r="B121" s="301" t="n"/>
      <c r="C121" s="301" t="n"/>
      <c r="D121" s="301" t="n"/>
      <c r="E121" s="328" t="n"/>
      <c r="F121" s="301" t="n"/>
      <c r="G121" s="301" t="n"/>
      <c r="H121" s="301" t="n"/>
      <c r="I121" s="301" t="n"/>
      <c r="J121" s="301" t="n"/>
    </row>
    <row r="122" ht="15" customHeight="1" s="221">
      <c r="A122" s="301" t="n"/>
      <c r="B122" s="301" t="n"/>
      <c r="C122" s="301" t="n"/>
      <c r="D122" s="301" t="n"/>
      <c r="E122" s="328" t="n"/>
      <c r="F122" s="301" t="n"/>
      <c r="G122" s="301" t="n"/>
      <c r="H122" s="301" t="n"/>
      <c r="I122" s="301" t="n"/>
      <c r="J122" s="301" t="n"/>
    </row>
    <row r="123" ht="15" customHeight="1" s="221">
      <c r="A123" s="301" t="n"/>
      <c r="B123" s="301" t="n"/>
      <c r="C123" s="301" t="n"/>
      <c r="D123" s="301" t="n"/>
      <c r="E123" s="328" t="n"/>
      <c r="F123" s="301" t="n"/>
      <c r="G123" s="301" t="n"/>
      <c r="H123" s="301" t="n"/>
      <c r="I123" s="301" t="n"/>
      <c r="J123" s="301" t="n"/>
    </row>
    <row r="124" ht="15" customHeight="1" s="221">
      <c r="A124" s="301" t="n"/>
      <c r="B124" s="301" t="n"/>
      <c r="C124" s="301" t="n"/>
      <c r="D124" s="301" t="n"/>
      <c r="E124" s="328" t="n"/>
      <c r="F124" s="301" t="n"/>
      <c r="G124" s="301" t="n"/>
      <c r="H124" s="301" t="n"/>
      <c r="I124" s="301" t="n"/>
      <c r="J124" s="301" t="n"/>
    </row>
    <row r="125" ht="15" customHeight="1" s="221">
      <c r="A125" s="301" t="n"/>
      <c r="B125" s="301" t="n"/>
      <c r="C125" s="301" t="n"/>
      <c r="D125" s="301" t="n"/>
      <c r="E125" s="328" t="n"/>
      <c r="F125" s="301" t="n"/>
      <c r="G125" s="301" t="n"/>
      <c r="H125" s="301" t="n"/>
      <c r="I125" s="301" t="n"/>
      <c r="J125" s="301" t="n"/>
    </row>
    <row r="126" ht="15" customHeight="1" s="221">
      <c r="A126" s="301" t="n"/>
      <c r="B126" s="301" t="n"/>
      <c r="C126" s="301" t="n"/>
      <c r="D126" s="301" t="n"/>
      <c r="E126" s="328" t="n"/>
      <c r="F126" s="301" t="n"/>
      <c r="G126" s="301" t="n"/>
      <c r="H126" s="301" t="n"/>
      <c r="I126" s="301" t="n"/>
      <c r="J126" s="301" t="n"/>
    </row>
    <row r="127" ht="15" customHeight="1" s="221">
      <c r="A127" s="301" t="n"/>
      <c r="B127" s="301" t="n"/>
      <c r="C127" s="301" t="n"/>
      <c r="D127" s="301" t="n"/>
      <c r="E127" s="328" t="n"/>
      <c r="F127" s="301" t="n"/>
      <c r="G127" s="301" t="n"/>
      <c r="H127" s="301" t="n"/>
      <c r="I127" s="301" t="n"/>
      <c r="J127" s="301" t="n"/>
    </row>
    <row r="128" ht="15" customHeight="1" s="221">
      <c r="A128" s="301" t="n"/>
      <c r="B128" s="301" t="n"/>
      <c r="C128" s="301" t="n"/>
      <c r="D128" s="301" t="n"/>
      <c r="E128" s="328" t="n"/>
      <c r="F128" s="301" t="n"/>
      <c r="G128" s="301" t="n"/>
      <c r="H128" s="301" t="n"/>
      <c r="I128" s="301" t="n"/>
      <c r="J128" s="301" t="n"/>
    </row>
    <row r="129" ht="15" customHeight="1" s="221">
      <c r="A129" s="301" t="n"/>
      <c r="B129" s="301" t="n"/>
      <c r="C129" s="301" t="n"/>
      <c r="D129" s="301" t="n"/>
      <c r="E129" s="328" t="n"/>
      <c r="F129" s="301" t="n"/>
      <c r="G129" s="301" t="n"/>
      <c r="H129" s="301" t="n"/>
      <c r="I129" s="301" t="n"/>
      <c r="J129" s="301" t="n"/>
    </row>
    <row r="130" ht="15" customHeight="1" s="221">
      <c r="A130" s="301" t="n"/>
      <c r="B130" s="301" t="n"/>
      <c r="C130" s="301" t="n"/>
      <c r="D130" s="301" t="n"/>
      <c r="E130" s="328" t="n"/>
      <c r="F130" s="301" t="n"/>
      <c r="G130" s="301" t="n"/>
      <c r="H130" s="301" t="n"/>
      <c r="I130" s="301" t="n"/>
      <c r="J130" s="301" t="n"/>
    </row>
    <row r="131" ht="15" customHeight="1" s="221">
      <c r="A131" s="301" t="n"/>
      <c r="B131" s="301" t="n"/>
      <c r="C131" s="301" t="n"/>
      <c r="D131" s="301" t="n"/>
      <c r="E131" s="328" t="n"/>
      <c r="F131" s="301" t="n"/>
      <c r="G131" s="301" t="n"/>
      <c r="H131" s="301" t="n"/>
      <c r="I131" s="301" t="n"/>
      <c r="J131" s="301" t="n"/>
    </row>
    <row r="132" ht="15" customHeight="1" s="221">
      <c r="A132" s="301" t="n"/>
      <c r="B132" s="301" t="n"/>
      <c r="C132" s="301" t="n"/>
      <c r="D132" s="301" t="n"/>
      <c r="E132" s="328" t="n"/>
      <c r="F132" s="301" t="n"/>
      <c r="G132" s="301" t="n"/>
      <c r="H132" s="301" t="n"/>
      <c r="I132" s="301" t="n"/>
      <c r="J132" s="301" t="n"/>
    </row>
    <row r="133" ht="15" customHeight="1" s="221">
      <c r="A133" s="301" t="n"/>
      <c r="B133" s="301" t="n"/>
      <c r="C133" s="301" t="n"/>
      <c r="D133" s="301" t="n"/>
      <c r="E133" s="328" t="n"/>
      <c r="F133" s="301" t="n"/>
      <c r="G133" s="301" t="n"/>
      <c r="H133" s="301" t="n"/>
      <c r="I133" s="301" t="n"/>
      <c r="J133" s="301" t="n"/>
    </row>
    <row r="134" ht="15" customHeight="1" s="221">
      <c r="A134" s="301" t="n"/>
      <c r="B134" s="301" t="n"/>
      <c r="C134" s="301" t="n"/>
      <c r="D134" s="301" t="n"/>
      <c r="E134" s="328" t="n"/>
      <c r="F134" s="301" t="n"/>
      <c r="G134" s="301" t="n"/>
      <c r="H134" s="301" t="n"/>
      <c r="I134" s="301" t="n"/>
      <c r="J134" s="301" t="n"/>
    </row>
    <row r="135" ht="15" customHeight="1" s="221">
      <c r="A135" s="301" t="n"/>
      <c r="B135" s="301" t="n"/>
      <c r="C135" s="301" t="n"/>
      <c r="D135" s="301" t="n"/>
      <c r="E135" s="328" t="n"/>
      <c r="F135" s="301" t="n"/>
      <c r="G135" s="301" t="n"/>
      <c r="H135" s="301" t="n"/>
      <c r="I135" s="301" t="n"/>
      <c r="J135" s="301" t="n"/>
    </row>
    <row r="136" ht="15" customHeight="1" s="221">
      <c r="A136" s="301" t="n"/>
      <c r="B136" s="301" t="n"/>
      <c r="C136" s="301" t="n"/>
      <c r="D136" s="301" t="n"/>
      <c r="E136" s="328" t="n"/>
      <c r="F136" s="301" t="n"/>
      <c r="G136" s="301" t="n"/>
      <c r="H136" s="301" t="n"/>
      <c r="I136" s="301" t="n"/>
      <c r="J136" s="301" t="n"/>
    </row>
    <row r="137" ht="15" customHeight="1" s="221">
      <c r="A137" s="301" t="n"/>
      <c r="B137" s="301" t="n"/>
      <c r="C137" s="301" t="n"/>
      <c r="D137" s="301" t="n"/>
      <c r="E137" s="328" t="n"/>
      <c r="F137" s="301" t="n"/>
      <c r="G137" s="301" t="n"/>
      <c r="H137" s="301" t="n"/>
      <c r="I137" s="301" t="n"/>
      <c r="J137" s="301" t="n"/>
    </row>
    <row r="138" ht="15" customHeight="1" s="221">
      <c r="A138" s="301" t="n"/>
      <c r="B138" s="301" t="n"/>
      <c r="C138" s="301" t="n"/>
      <c r="D138" s="301" t="n"/>
      <c r="E138" s="328" t="n"/>
      <c r="F138" s="301" t="n"/>
      <c r="G138" s="301" t="n"/>
      <c r="H138" s="301" t="n"/>
      <c r="I138" s="301" t="n"/>
      <c r="J138" s="301" t="n"/>
    </row>
    <row r="139" ht="15" customHeight="1" s="221">
      <c r="A139" s="301" t="n"/>
      <c r="B139" s="301" t="n"/>
      <c r="C139" s="301" t="n"/>
      <c r="D139" s="301" t="n"/>
      <c r="E139" s="301" t="n"/>
      <c r="F139" s="301" t="n"/>
      <c r="G139" s="301" t="n"/>
      <c r="H139" s="301" t="n"/>
      <c r="I139" s="301" t="n"/>
      <c r="J139" s="301" t="n"/>
    </row>
    <row r="140" ht="15" customHeight="1" s="221">
      <c r="A140" s="301" t="n"/>
      <c r="B140" s="301" t="n"/>
      <c r="C140" s="301" t="n"/>
      <c r="D140" s="301" t="n"/>
      <c r="E140" s="301" t="n"/>
      <c r="F140" s="301" t="n"/>
      <c r="G140" s="301" t="n"/>
      <c r="H140" s="301" t="n"/>
      <c r="I140" s="301" t="n"/>
      <c r="J140" s="301" t="n"/>
    </row>
    <row r="141" ht="15" customHeight="1" s="221">
      <c r="A141" s="301" t="n"/>
      <c r="B141" s="301" t="n"/>
      <c r="C141" s="301" t="n"/>
      <c r="D141" s="301" t="n"/>
      <c r="E141" s="301" t="n"/>
      <c r="F141" s="301" t="n"/>
      <c r="G141" s="301" t="n"/>
      <c r="H141" s="301" t="n"/>
      <c r="I141" s="301" t="n"/>
      <c r="J141" s="301" t="n"/>
    </row>
    <row r="142" ht="15" customHeight="1" s="221">
      <c r="A142" s="301" t="n"/>
      <c r="B142" s="301" t="n"/>
      <c r="C142" s="301" t="n"/>
      <c r="D142" s="301" t="n"/>
      <c r="E142" s="301" t="n"/>
      <c r="F142" s="301" t="n"/>
      <c r="G142" s="301" t="n"/>
      <c r="H142" s="301" t="n"/>
      <c r="I142" s="301" t="n"/>
      <c r="J142" s="301" t="n"/>
    </row>
    <row r="143" ht="15" customHeight="1" s="221">
      <c r="A143" s="301" t="n"/>
      <c r="B143" s="301" t="n"/>
      <c r="C143" s="301" t="n"/>
      <c r="D143" s="301" t="n"/>
      <c r="E143" s="301" t="n"/>
      <c r="F143" s="301" t="n"/>
      <c r="G143" s="301" t="n"/>
      <c r="H143" s="301" t="n"/>
      <c r="I143" s="301" t="n"/>
      <c r="J143" s="301" t="n"/>
    </row>
    <row r="144" ht="15" customHeight="1" s="221">
      <c r="A144" s="301" t="n"/>
      <c r="B144" s="301" t="n"/>
      <c r="C144" s="301" t="n"/>
      <c r="D144" s="301" t="n"/>
      <c r="E144" s="301" t="n"/>
      <c r="F144" s="301" t="n"/>
      <c r="G144" s="301" t="n"/>
      <c r="H144" s="301" t="n"/>
      <c r="I144" s="301" t="n"/>
      <c r="J144" s="301" t="n"/>
    </row>
    <row r="145" ht="15" customHeight="1" s="221">
      <c r="A145" s="301" t="n"/>
      <c r="B145" s="301" t="n"/>
      <c r="C145" s="301" t="n"/>
      <c r="D145" s="301" t="n"/>
      <c r="E145" s="301" t="n"/>
      <c r="F145" s="301" t="n"/>
      <c r="G145" s="301" t="n"/>
      <c r="H145" s="301" t="n"/>
      <c r="I145" s="301" t="n"/>
      <c r="J145" s="301" t="n"/>
    </row>
    <row r="146" ht="15" customHeight="1" s="221">
      <c r="A146" s="301" t="n"/>
      <c r="B146" s="301" t="n"/>
      <c r="C146" s="301" t="n"/>
      <c r="D146" s="301" t="n"/>
      <c r="E146" s="301" t="n"/>
      <c r="F146" s="301" t="n"/>
      <c r="G146" s="301" t="n"/>
      <c r="H146" s="301" t="n"/>
      <c r="I146" s="301" t="n"/>
      <c r="J146" s="301" t="n"/>
    </row>
    <row r="147" ht="15" customHeight="1" s="221">
      <c r="A147" s="301" t="n"/>
      <c r="B147" s="301" t="n"/>
      <c r="C147" s="301" t="n"/>
      <c r="D147" s="301" t="n"/>
      <c r="E147" s="301" t="n"/>
      <c r="F147" s="301" t="n"/>
      <c r="G147" s="301" t="n"/>
      <c r="H147" s="301" t="n"/>
      <c r="I147" s="301" t="n"/>
      <c r="J147" s="301" t="n"/>
    </row>
    <row r="148" ht="15" customHeight="1" s="221">
      <c r="A148" s="301" t="n"/>
      <c r="B148" s="301" t="n"/>
      <c r="C148" s="301" t="n"/>
      <c r="D148" s="301" t="n"/>
      <c r="E148" s="301" t="n"/>
      <c r="F148" s="301" t="n"/>
      <c r="G148" s="301" t="n"/>
      <c r="H148" s="301" t="n"/>
      <c r="I148" s="301" t="n"/>
      <c r="J148" s="301" t="n"/>
    </row>
    <row r="149" ht="15" customHeight="1" s="221">
      <c r="A149" s="301" t="n"/>
      <c r="B149" s="301" t="n"/>
      <c r="C149" s="301" t="n"/>
      <c r="D149" s="301" t="n"/>
      <c r="E149" s="301" t="n"/>
      <c r="F149" s="301" t="n"/>
      <c r="G149" s="301" t="n"/>
      <c r="H149" s="301" t="n"/>
      <c r="I149" s="301" t="n"/>
      <c r="J149" s="301" t="n"/>
    </row>
    <row r="150" ht="15" customHeight="1" s="221">
      <c r="A150" s="301" t="n"/>
      <c r="B150" s="301" t="n"/>
      <c r="C150" s="301" t="n"/>
      <c r="D150" s="301" t="n"/>
      <c r="E150" s="301" t="n"/>
      <c r="F150" s="301" t="n"/>
      <c r="G150" s="301" t="n"/>
      <c r="H150" s="301" t="n"/>
      <c r="I150" s="301" t="n"/>
      <c r="J150" s="301" t="n"/>
    </row>
  </sheetData>
  <mergeCells count="3">
    <mergeCell ref="A104:D104"/>
    <mergeCell ref="A106:C106"/>
    <mergeCell ref="A1:H1"/>
  </mergeCells>
  <dataValidations count="2">
    <dataValidation sqref="B4:B103" showDropDown="0" showInputMessage="0" showErrorMessage="0" allowBlank="1" type="list" errorStyle="stop" operator="between">
      <formula1>"Familiar,NeuroTEA"</formula1>
      <formula2>0</formula2>
    </dataValidation>
    <dataValidation sqref="C4:C103" showDropDown="0" showInputMessage="0" showErrorMessage="0" allowBlank="1" type="list" errorStyle="stop" operator="between">
      <formula1>"Combustible,Supermercado,Farmacia,Recreación,Gastos Varios,Reserva Fam 1,Reserva Fam 2,Reserva Fam 3,Insumos NT,Papelería NT,Mantenimiento NT,Festejos NT,Gastos Cursos NT,Gastos Varios NT,Reserva NT 1,Reserva NT 2,Reserva NT 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tabColor rgb="FFF39C12"/>
    <outlinePr summaryBelow="1" summaryRight="1"/>
    <pageSetUpPr fitToPage="0"/>
  </sheetPr>
  <dimension ref="A1:L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24" customWidth="1" style="220" min="1" max="1"/>
    <col width="12" customWidth="1" style="220" min="2" max="2"/>
    <col width="14" customWidth="1" style="220" min="3" max="4"/>
    <col width="2" customWidth="1" style="220" min="5" max="6"/>
    <col width="24" customWidth="1" style="220" min="7" max="7"/>
    <col width="12" customWidth="1" style="220" min="8" max="8"/>
    <col width="14" customWidth="1" style="220" min="9" max="10"/>
  </cols>
  <sheetData>
    <row r="1" ht="34.5" customHeight="1" s="221">
      <c r="A1" s="340" t="inlineStr">
        <is>
          <t>📊 CONTROL FINANCIERO - DICIEMBRE 2026</t>
        </is>
      </c>
      <c r="K1" s="301" t="n"/>
      <c r="L1" s="301" t="n"/>
    </row>
    <row r="2" ht="15" customHeight="1" s="221">
      <c r="A2" s="301" t="n"/>
      <c r="B2" s="301" t="n"/>
      <c r="C2" s="301" t="n"/>
      <c r="D2" s="301" t="n"/>
      <c r="E2" s="301" t="n"/>
      <c r="F2" s="301" t="n"/>
      <c r="G2" s="301" t="n"/>
      <c r="H2" s="301" t="n"/>
      <c r="I2" s="301" t="n"/>
      <c r="J2" s="301" t="n"/>
      <c r="K2" s="301" t="n"/>
      <c r="L2" s="301" t="n"/>
    </row>
    <row r="3" ht="15" customHeight="1" s="221">
      <c r="A3" s="341" t="inlineStr">
        <is>
          <t>TOTAL INGRESOS</t>
        </is>
      </c>
      <c r="C3" s="301" t="n"/>
      <c r="D3" s="342" t="inlineStr">
        <is>
          <t>GASTOS PAGADOS</t>
        </is>
      </c>
      <c r="F3" s="301" t="n"/>
      <c r="G3" s="343" t="inlineStr">
        <is>
          <t>GASTOS PENDIENTES</t>
        </is>
      </c>
      <c r="I3" s="301" t="n"/>
      <c r="J3" s="344" t="inlineStr">
        <is>
          <t>BALANCE</t>
        </is>
      </c>
      <c r="K3" s="301" t="n"/>
      <c r="L3" s="301" t="n"/>
    </row>
    <row r="4" ht="22.5" customHeight="1" s="221">
      <c r="A4" s="345">
        <f>D26+J12</f>
        <v/>
      </c>
      <c r="C4" s="328" t="n"/>
      <c r="D4" s="346">
        <f>D65+I58</f>
        <v/>
      </c>
      <c r="F4" s="301" t="n"/>
      <c r="G4" s="347">
        <f>D66+I59</f>
        <v/>
      </c>
      <c r="I4" s="301" t="n"/>
      <c r="J4" s="348">
        <f>A4-D4-G4</f>
        <v/>
      </c>
      <c r="K4" s="301" t="n"/>
      <c r="L4" s="301" t="n"/>
    </row>
    <row r="5" ht="15" customHeight="1" s="221">
      <c r="A5" s="301" t="n"/>
      <c r="B5" s="301" t="n"/>
      <c r="C5" s="301" t="n"/>
      <c r="D5" s="301" t="n"/>
      <c r="E5" s="301" t="n"/>
      <c r="F5" s="301" t="n"/>
      <c r="G5" s="301" t="n"/>
      <c r="H5" s="301" t="n"/>
      <c r="I5" s="301" t="n"/>
      <c r="J5" s="301" t="n"/>
      <c r="K5" s="301" t="n"/>
      <c r="L5" s="301" t="n"/>
    </row>
    <row r="6" ht="15.75" customHeight="1" s="221">
      <c r="A6" s="349" t="inlineStr">
        <is>
          <t>⚠️ PRÉSTAMO NT → FAMILIA</t>
        </is>
      </c>
      <c r="D6" s="350">
        <f>SUMIF('Ing-Egr Diciembre 2026'!B4:B103,"Préstamo NT → Familia",'Ing-Egr Diciembre 2026'!F4:F103)-SUMIF('Ing-Egr Diciembre 2026'!B4:B103,"Devolución Familia → NT",'Ing-Egr Diciembre 2026'!E4:E103)</f>
        <v/>
      </c>
      <c r="E6" s="301" t="n"/>
      <c r="F6" s="351" t="inlineStr">
        <is>
          <t>Estado:</t>
        </is>
      </c>
      <c r="G6" s="351">
        <f>IF(D6=0,"🟢 SANO","🔴 FUGA")</f>
        <v/>
      </c>
      <c r="H6" s="301" t="n"/>
      <c r="I6" s="339" t="inlineStr">
        <is>
          <t>(Ideal = 0)</t>
        </is>
      </c>
      <c r="J6" s="301" t="n"/>
      <c r="K6" s="301" t="n"/>
      <c r="L6" s="301" t="n"/>
    </row>
    <row r="7" ht="15" customHeight="1" s="221">
      <c r="A7" s="301" t="n"/>
      <c r="B7" s="301" t="n"/>
      <c r="C7" s="301" t="n"/>
      <c r="D7" s="301" t="n"/>
      <c r="E7" s="301" t="n"/>
      <c r="F7" s="301" t="n"/>
      <c r="G7" s="301" t="n"/>
      <c r="H7" s="301" t="n"/>
      <c r="I7" s="301" t="n"/>
      <c r="J7" s="301" t="n"/>
      <c r="K7" s="301" t="n"/>
      <c r="L7" s="301" t="n"/>
    </row>
    <row r="8" ht="15" customHeight="1" s="221">
      <c r="A8" s="352" t="inlineStr">
        <is>
          <t>💵 INGRESOS FAMILIA</t>
        </is>
      </c>
      <c r="B8" s="256" t="n"/>
      <c r="C8" s="256" t="n"/>
      <c r="D8" s="353" t="n"/>
      <c r="E8" s="354" t="n"/>
      <c r="F8" s="354" t="n"/>
      <c r="G8" s="355" t="inlineStr">
        <is>
          <t>💵 INGRESOS NEUROTEA</t>
        </is>
      </c>
      <c r="H8" s="256" t="n"/>
      <c r="I8" s="256" t="n"/>
      <c r="J8" s="353" t="n"/>
      <c r="K8" s="301" t="n"/>
      <c r="L8" s="301" t="n"/>
    </row>
    <row r="9" ht="15" customHeight="1" s="221">
      <c r="A9" s="356" t="inlineStr">
        <is>
          <t>MARCO ITAIPU</t>
        </is>
      </c>
      <c r="B9" s="353" t="n"/>
      <c r="C9" s="357" t="inlineStr">
        <is>
          <t>Fecha</t>
        </is>
      </c>
      <c r="D9" s="358" t="inlineStr">
        <is>
          <t>Monto</t>
        </is>
      </c>
      <c r="E9" s="359" t="n"/>
      <c r="F9" s="360" t="n"/>
      <c r="G9" s="361" t="inlineStr">
        <is>
          <t>Ingreso del Mes</t>
        </is>
      </c>
      <c r="H9" s="256" t="n"/>
      <c r="I9" s="353" t="n"/>
      <c r="J9" s="362" t="inlineStr">
        <is>
          <t>Monto</t>
        </is>
      </c>
      <c r="K9" s="301" t="n"/>
      <c r="L9" s="301" t="n"/>
    </row>
    <row r="10" ht="15" customHeight="1" s="221">
      <c r="A10" s="363" t="inlineStr">
        <is>
          <t>Salario Mensual</t>
        </is>
      </c>
      <c r="B10" s="364" t="n"/>
      <c r="C10" s="365" t="n"/>
      <c r="D10" s="366">
        <f>SUMIFS('Ing-Egr Diciembre 2026'!E4:E103,'Ing-Egr Diciembre 2026'!B4:B103,"Ingreso Marco",'Ing-Egr Diciembre 2026'!C4:C103,A10)</f>
        <v/>
      </c>
      <c r="E10" s="359" t="n"/>
      <c r="F10" s="360" t="n"/>
      <c r="G10" s="367" t="inlineStr">
        <is>
          <t>(Suma desde pestaña Ing-Egr Diciembre)</t>
        </is>
      </c>
      <c r="H10" s="256" t="n"/>
      <c r="I10" s="353" t="n"/>
      <c r="J10" s="368">
        <f>SUMIF('Ing-Egr Diciembre 2026'!B4:B103,"Ingreso NT",'Ing-Egr Diciembre 2026'!E4:E103)</f>
        <v/>
      </c>
      <c r="K10" s="301" t="n"/>
      <c r="L10" s="301" t="n"/>
    </row>
    <row r="11" ht="15" customHeight="1" s="221">
      <c r="A11" s="369" t="inlineStr">
        <is>
          <t>Vacaciones</t>
        </is>
      </c>
      <c r="B11" s="370" t="n"/>
      <c r="C11" s="371" t="n"/>
      <c r="D11" s="366">
        <f>SUMIFS('Ing-Egr Diciembre 2026'!E4:E103,'Ing-Egr Diciembre 2026'!B4:B103,"Ingreso Marco",'Ing-Egr Diciembre 2026'!C4:C103,A11)</f>
        <v/>
      </c>
      <c r="E11" s="359" t="n"/>
      <c r="F11" s="360" t="n"/>
      <c r="G11" s="359" t="n"/>
      <c r="H11" s="301" t="n"/>
      <c r="I11" s="301" t="n"/>
      <c r="J11" s="301" t="n"/>
      <c r="K11" s="301" t="n"/>
      <c r="L11" s="301" t="n"/>
    </row>
    <row r="12" ht="15" customHeight="1" s="221">
      <c r="A12" s="363" t="inlineStr">
        <is>
          <t>Aguinaldo</t>
        </is>
      </c>
      <c r="B12" s="364" t="n"/>
      <c r="C12" s="365" t="n"/>
      <c r="D12" s="366">
        <f>SUMIFS('Ing-Egr Diciembre 2026'!E4:E103,'Ing-Egr Diciembre 2026'!B4:B103,"Ingreso Marco",'Ing-Egr Diciembre 2026'!C4:C103,A12)</f>
        <v/>
      </c>
      <c r="E12" s="359" t="n"/>
      <c r="F12" s="360" t="n"/>
      <c r="G12" s="372" t="inlineStr">
        <is>
          <t>═══ TOTAL INGRESOS NT ═══</t>
        </is>
      </c>
      <c r="H12" s="256" t="n"/>
      <c r="I12" s="353" t="n"/>
      <c r="J12" s="373">
        <f>J10</f>
        <v/>
      </c>
      <c r="K12" s="301" t="n"/>
      <c r="L12" s="301" t="n"/>
    </row>
    <row r="13" ht="15" customHeight="1" s="221">
      <c r="A13" s="369" t="inlineStr">
        <is>
          <t>Viático</t>
        </is>
      </c>
      <c r="B13" s="370" t="n"/>
      <c r="C13" s="371" t="n"/>
      <c r="D13" s="366">
        <f>SUMIFS('Ing-Egr Diciembre 2026'!E4:E103,'Ing-Egr Diciembre 2026'!B4:B103,"Ingreso Marco",'Ing-Egr Diciembre 2026'!C4:C103,A13)</f>
        <v/>
      </c>
      <c r="E13" s="359" t="n"/>
      <c r="F13" s="360" t="n"/>
      <c r="G13" s="359" t="n"/>
      <c r="H13" s="301" t="n"/>
      <c r="I13" s="301" t="n"/>
      <c r="J13" s="301" t="n"/>
      <c r="K13" s="301" t="n"/>
      <c r="L13" s="301" t="n"/>
    </row>
    <row r="14" ht="15" customHeight="1" s="221">
      <c r="A14" s="363" t="inlineStr">
        <is>
          <t>Animador Bíblico</t>
        </is>
      </c>
      <c r="B14" s="364" t="n"/>
      <c r="C14" s="365" t="n"/>
      <c r="D14" s="366">
        <f>SUMIFS('Ing-Egr Diciembre 2026'!E4:E103,'Ing-Egr Diciembre 2026'!B4:B103,"Ingreso Marco",'Ing-Egr Diciembre 2026'!C4:C103,A14)</f>
        <v/>
      </c>
      <c r="E14" s="359" t="n"/>
      <c r="F14" s="360" t="n"/>
      <c r="G14" s="359" t="n"/>
      <c r="H14" s="301" t="n"/>
      <c r="I14" s="301" t="n"/>
      <c r="J14" s="301" t="n"/>
      <c r="K14" s="301" t="n"/>
      <c r="L14" s="301" t="n"/>
    </row>
    <row r="15" ht="15" customHeight="1" s="221">
      <c r="A15" s="369" t="inlineStr">
        <is>
          <t>Otros Ocasionales</t>
        </is>
      </c>
      <c r="B15" s="370" t="n"/>
      <c r="C15" s="371" t="n"/>
      <c r="D15" s="366">
        <f>SUMIFS('Ing-Egr Diciembre 2026'!E4:E103,'Ing-Egr Diciembre 2026'!B4:B103,"Ingreso Marco",'Ing-Egr Diciembre 2026'!C4:C103,A15)</f>
        <v/>
      </c>
      <c r="E15" s="359" t="n"/>
      <c r="F15" s="360" t="n"/>
      <c r="G15" s="359" t="n"/>
      <c r="H15" s="301" t="n"/>
      <c r="I15" s="374">
        <f>J12</f>
        <v/>
      </c>
      <c r="J15" s="301" t="n"/>
      <c r="K15" s="301" t="n"/>
      <c r="L15" s="301" t="n"/>
    </row>
    <row r="16" ht="15" customHeight="1" s="221">
      <c r="A16" s="375" t="inlineStr">
        <is>
          <t>TOTAL MARCO</t>
        </is>
      </c>
      <c r="B16" s="360" t="n"/>
      <c r="C16" s="359" t="n"/>
      <c r="D16" s="376">
        <f>SUM(D10:D15)</f>
        <v/>
      </c>
      <c r="E16" s="359" t="n"/>
      <c r="F16" s="360" t="n"/>
      <c r="G16" s="359" t="n"/>
      <c r="H16" s="301" t="n"/>
      <c r="I16" s="301" t="n"/>
      <c r="J16" s="301" t="n"/>
      <c r="K16" s="301" t="n"/>
      <c r="L16" s="301" t="n"/>
    </row>
    <row r="17" ht="15" customHeight="1" s="221">
      <c r="A17" s="377" t="inlineStr">
        <is>
          <t>CLARA</t>
        </is>
      </c>
      <c r="B17" s="353" t="n"/>
      <c r="C17" s="378" t="inlineStr">
        <is>
          <t>Fecha</t>
        </is>
      </c>
      <c r="D17" s="379" t="inlineStr">
        <is>
          <t>Monto</t>
        </is>
      </c>
      <c r="E17" s="359" t="n"/>
      <c r="F17" s="360" t="n"/>
      <c r="G17" s="359" t="n"/>
      <c r="H17" s="301" t="n"/>
      <c r="I17" s="301" t="n"/>
      <c r="J17" s="301" t="n"/>
      <c r="K17" s="301" t="n"/>
      <c r="L17" s="301" t="n"/>
    </row>
    <row r="18" ht="15" customHeight="1" s="221">
      <c r="A18" s="380" t="inlineStr">
        <is>
          <t>Honorarios Diarios</t>
        </is>
      </c>
      <c r="B18" s="381" t="n"/>
      <c r="C18" s="382" t="n"/>
      <c r="D18" s="383">
        <f>SUMIF('Ing-Egr Diciembre 2026'!B4:B103,"Ingreso Clara",'Ing-Egr Diciembre 2026'!E4:E103)</f>
        <v/>
      </c>
      <c r="E18" s="359" t="n"/>
      <c r="F18" s="360" t="n"/>
      <c r="G18" s="359" t="n"/>
      <c r="H18" s="301" t="n"/>
      <c r="I18" s="301" t="n"/>
      <c r="J18" s="301" t="n"/>
      <c r="K18" s="301" t="n"/>
      <c r="L18" s="301" t="n"/>
    </row>
    <row r="19" ht="15" customHeight="1" s="221">
      <c r="A19" s="384" t="inlineStr">
        <is>
          <t>TOTAL CLARA</t>
        </is>
      </c>
      <c r="B19" s="301" t="n"/>
      <c r="C19" s="301" t="n"/>
      <c r="D19" s="385">
        <f>D18</f>
        <v/>
      </c>
      <c r="E19" s="359" t="n"/>
      <c r="F19" s="360" t="n"/>
      <c r="G19" s="359" t="n"/>
      <c r="H19" s="301" t="n"/>
      <c r="I19" s="301" t="n"/>
      <c r="J19" s="301" t="n"/>
      <c r="K19" s="301" t="n"/>
      <c r="L19" s="301" t="n"/>
    </row>
    <row r="20" ht="15" customHeight="1" s="221">
      <c r="A20" s="386" t="inlineStr">
        <is>
          <t>DESDE NEUROTEA</t>
        </is>
      </c>
      <c r="D20" s="387" t="inlineStr">
        <is>
          <t>Monto</t>
        </is>
      </c>
      <c r="E20" s="359" t="n"/>
      <c r="F20" s="360" t="n"/>
      <c r="G20" s="359" t="n"/>
      <c r="H20" s="301" t="n"/>
      <c r="I20" s="301" t="n"/>
      <c r="J20" s="301" t="n"/>
      <c r="K20" s="301" t="n"/>
      <c r="L20" s="301" t="n"/>
    </row>
    <row r="21" ht="15" customHeight="1" s="221">
      <c r="A21" s="388" t="inlineStr">
        <is>
          <t>Salario Admin Marco</t>
        </is>
      </c>
      <c r="B21" s="388" t="n"/>
      <c r="C21" s="388" t="n"/>
      <c r="D21" s="389" t="n">
        <v>0</v>
      </c>
      <c r="E21" s="359" t="n"/>
      <c r="F21" s="360" t="n"/>
      <c r="G21" s="359" t="n"/>
      <c r="H21" s="301" t="n"/>
      <c r="I21" s="301" t="n"/>
      <c r="J21" s="301" t="n"/>
      <c r="K21" s="301" t="n"/>
      <c r="L21" s="301" t="n"/>
    </row>
    <row r="22" ht="15" customHeight="1" s="221">
      <c r="A22" s="390" t="inlineStr">
        <is>
          <t>Ganancia NT → Familia</t>
        </is>
      </c>
      <c r="B22" s="390" t="n"/>
      <c r="C22" s="390" t="n"/>
      <c r="D22" s="391" t="n">
        <v>0</v>
      </c>
      <c r="E22" s="359" t="n"/>
      <c r="F22" s="360" t="n"/>
      <c r="G22" s="359" t="n"/>
      <c r="H22" s="301" t="n"/>
      <c r="I22" s="301" t="n"/>
      <c r="J22" s="301" t="n"/>
      <c r="K22" s="301" t="n"/>
      <c r="L22" s="301" t="n"/>
    </row>
    <row r="23" ht="15" customHeight="1" s="221">
      <c r="A23" s="388" t="inlineStr">
        <is>
          <t>Préstamo NT (automático)</t>
        </is>
      </c>
      <c r="B23" s="388" t="n"/>
      <c r="C23" s="388" t="n"/>
      <c r="D23" s="389">
        <f>D6</f>
        <v/>
      </c>
      <c r="E23" s="359" t="n"/>
      <c r="F23" s="360" t="n"/>
      <c r="G23" s="359" t="n"/>
      <c r="H23" s="301" t="n"/>
      <c r="I23" s="301" t="n"/>
      <c r="J23" s="301" t="n"/>
      <c r="K23" s="301" t="n"/>
      <c r="L23" s="301" t="n"/>
    </row>
    <row r="24" ht="15" customHeight="1" s="221">
      <c r="A24" s="392" t="inlineStr">
        <is>
          <t>TOTAL DESDE NT</t>
        </is>
      </c>
      <c r="B24" s="301" t="n"/>
      <c r="C24" s="301" t="n"/>
      <c r="D24" s="393">
        <f>SUM(D21:D23)</f>
        <v/>
      </c>
      <c r="E24" s="359" t="n"/>
      <c r="F24" s="360" t="n"/>
      <c r="G24" s="359" t="n"/>
      <c r="H24" s="301" t="n"/>
      <c r="I24" s="301" t="n"/>
      <c r="J24" s="301" t="n"/>
      <c r="K24" s="301" t="n"/>
      <c r="L24" s="301" t="n"/>
    </row>
    <row r="25" ht="15" customHeight="1" s="221">
      <c r="A25" s="301" t="n"/>
      <c r="B25" s="301" t="n"/>
      <c r="C25" s="301" t="n"/>
      <c r="D25" s="360" t="n"/>
      <c r="E25" s="359" t="n"/>
      <c r="F25" s="360" t="n"/>
      <c r="G25" s="359" t="n"/>
      <c r="H25" s="301" t="n"/>
      <c r="I25" s="301" t="n"/>
      <c r="J25" s="301" t="n"/>
      <c r="K25" s="301" t="n"/>
      <c r="L25" s="301" t="n"/>
    </row>
    <row r="26" ht="15" customHeight="1" s="221">
      <c r="A26" s="223" t="inlineStr">
        <is>
          <t>═══ TOTAL INGRESOS FAMILIA ═══</t>
        </is>
      </c>
      <c r="D26" s="394">
        <f>D16+D19+D24</f>
        <v/>
      </c>
      <c r="E26" s="359" t="n"/>
      <c r="F26" s="360" t="n"/>
      <c r="G26" s="359" t="n"/>
      <c r="H26" s="301" t="n"/>
      <c r="I26" s="301" t="n"/>
      <c r="J26" s="301" t="n"/>
      <c r="K26" s="301" t="n"/>
      <c r="L26" s="301" t="n"/>
    </row>
    <row r="27" ht="15" customHeight="1" s="221">
      <c r="A27" s="301" t="n"/>
      <c r="B27" s="301" t="n"/>
      <c r="C27" s="301" t="n"/>
      <c r="D27" s="360" t="n"/>
      <c r="E27" s="359" t="n"/>
      <c r="F27" s="360" t="n"/>
      <c r="G27" s="359" t="n"/>
      <c r="H27" s="301" t="n"/>
      <c r="I27" s="301" t="n"/>
      <c r="J27" s="301" t="n"/>
      <c r="K27" s="301" t="n"/>
      <c r="L27" s="301" t="n"/>
    </row>
    <row r="28" ht="15.75" customHeight="1" s="221">
      <c r="A28" s="395" t="inlineStr">
        <is>
          <t>📉 GASTOS FAMILIARES</t>
        </is>
      </c>
      <c r="E28" s="328" t="n"/>
      <c r="F28" s="301" t="n"/>
      <c r="G28" s="396" t="inlineStr">
        <is>
          <t>📉 GASTOS NEUROTEA</t>
        </is>
      </c>
      <c r="K28" s="301" t="n"/>
      <c r="L28" s="301" t="n"/>
    </row>
    <row r="29" ht="15" customHeight="1" s="221">
      <c r="A29" s="397" t="inlineStr">
        <is>
          <t>Detalle</t>
        </is>
      </c>
      <c r="B29" s="397" t="inlineStr">
        <is>
          <t>Estado</t>
        </is>
      </c>
      <c r="C29" s="397" t="inlineStr">
        <is>
          <t>Monto</t>
        </is>
      </c>
      <c r="D29" s="397" t="inlineStr">
        <is>
          <t>Venc.</t>
        </is>
      </c>
      <c r="E29" s="301" t="n"/>
      <c r="F29" s="301" t="n"/>
      <c r="G29" s="398" t="inlineStr">
        <is>
          <t>Detalle</t>
        </is>
      </c>
      <c r="H29" s="398" t="inlineStr">
        <is>
          <t>Estado</t>
        </is>
      </c>
      <c r="I29" s="398" t="inlineStr">
        <is>
          <t>Monto</t>
        </is>
      </c>
      <c r="J29" s="398" t="inlineStr">
        <is>
          <t>Venc.</t>
        </is>
      </c>
      <c r="K29" s="301" t="n"/>
      <c r="L29" s="301" t="n"/>
    </row>
    <row r="30" ht="15.75" customHeight="1" s="221">
      <c r="A30" s="399" t="inlineStr">
        <is>
          <t>► GASTOS FIJOS ✏️</t>
        </is>
      </c>
      <c r="E30" s="301" t="n"/>
      <c r="F30" s="301" t="n"/>
      <c r="G30" s="400" t="inlineStr">
        <is>
          <t>► GASTOS FIJOS ✏️</t>
        </is>
      </c>
      <c r="K30" s="301" t="n"/>
      <c r="L30" s="301" t="n"/>
    </row>
    <row r="31" ht="15" customHeight="1" s="221">
      <c r="A31" s="401" t="inlineStr">
        <is>
          <t>Salario Lili Doméstico</t>
        </is>
      </c>
      <c r="B31" s="401" t="inlineStr">
        <is>
          <t>Ninguno</t>
        </is>
      </c>
      <c r="C31" s="402" t="n"/>
      <c r="D31" s="458" t="n"/>
      <c r="E31" s="301" t="n"/>
      <c r="F31" s="301" t="n"/>
      <c r="G31" s="403" t="inlineStr">
        <is>
          <t>Alquiler 1 (Principal)</t>
        </is>
      </c>
      <c r="H31" s="403" t="inlineStr">
        <is>
          <t>Ninguno</t>
        </is>
      </c>
      <c r="I31" s="404" t="n">
        <v>0</v>
      </c>
      <c r="J31" s="459" t="n"/>
      <c r="K31" s="301" t="n"/>
      <c r="L31" s="301" t="n"/>
    </row>
    <row r="32" ht="15" customHeight="1" s="221">
      <c r="A32" s="405" t="inlineStr">
        <is>
          <t>Salario Laura Doméstico</t>
        </is>
      </c>
      <c r="B32" s="405" t="inlineStr">
        <is>
          <t>Ninguno</t>
        </is>
      </c>
      <c r="C32" s="406" t="n"/>
      <c r="D32" s="460" t="n"/>
      <c r="E32" s="301" t="n"/>
      <c r="F32" s="301" t="n"/>
      <c r="G32" s="407" t="inlineStr">
        <is>
          <t>Alquiler 2 (Secundario)</t>
        </is>
      </c>
      <c r="H32" s="407" t="inlineStr">
        <is>
          <t>Ninguno</t>
        </is>
      </c>
      <c r="I32" s="408" t="n">
        <v>0</v>
      </c>
      <c r="J32" s="461" t="n"/>
      <c r="K32" s="301" t="n"/>
      <c r="L32" s="301" t="n"/>
    </row>
    <row r="33" ht="15" customHeight="1" s="221">
      <c r="A33" s="401" t="inlineStr">
        <is>
          <t>Escuela Fabián y Brenda</t>
        </is>
      </c>
      <c r="B33" s="401" t="inlineStr">
        <is>
          <t>Ninguno</t>
        </is>
      </c>
      <c r="C33" s="402" t="n"/>
      <c r="D33" s="458" t="n"/>
      <c r="E33" s="301" t="n"/>
      <c r="F33" s="301" t="n"/>
      <c r="G33" s="403" t="inlineStr">
        <is>
          <t>Limpieza NeuroTEA</t>
        </is>
      </c>
      <c r="H33" s="403" t="inlineStr">
        <is>
          <t>Ninguno</t>
        </is>
      </c>
      <c r="I33" s="404" t="n">
        <v>0</v>
      </c>
      <c r="J33" s="459" t="n"/>
      <c r="K33" s="301" t="n"/>
      <c r="L33" s="301" t="n"/>
    </row>
    <row r="34" ht="15" customHeight="1" s="221">
      <c r="A34" s="405" t="inlineStr">
        <is>
          <t>Robótica Niños</t>
        </is>
      </c>
      <c r="B34" s="405" t="inlineStr">
        <is>
          <t>Ninguno</t>
        </is>
      </c>
      <c r="C34" s="406" t="n"/>
      <c r="D34" s="460" t="n"/>
      <c r="E34" s="301" t="n"/>
      <c r="F34" s="301" t="n"/>
      <c r="G34" s="400" t="inlineStr">
        <is>
          <t>► SUELDOS Y HONORARIOS ✏️</t>
        </is>
      </c>
      <c r="K34" s="301" t="n"/>
      <c r="L34" s="301" t="n"/>
    </row>
    <row r="35" ht="15" customHeight="1" s="221">
      <c r="A35" s="410" t="inlineStr">
        <is>
          <t>ANDE Casa</t>
        </is>
      </c>
      <c r="B35" s="410" t="inlineStr">
        <is>
          <t>Ninguno</t>
        </is>
      </c>
      <c r="C35" s="411" t="n"/>
      <c r="D35" s="463" t="n"/>
      <c r="E35" s="301" t="n"/>
      <c r="F35" s="301" t="n"/>
      <c r="G35" s="403" t="inlineStr">
        <is>
          <t>Sueldo Aracely</t>
        </is>
      </c>
      <c r="H35" s="403" t="inlineStr">
        <is>
          <t>Ninguno</t>
        </is>
      </c>
      <c r="I35" s="404" t="n">
        <v>0</v>
      </c>
      <c r="J35" s="459" t="n"/>
      <c r="K35" s="301" t="n"/>
      <c r="L35" s="301" t="n"/>
    </row>
    <row r="36" ht="15" customHeight="1" s="221">
      <c r="A36" s="405" t="inlineStr">
        <is>
          <t>Expensa Casa</t>
        </is>
      </c>
      <c r="B36" s="405" t="inlineStr">
        <is>
          <t>Ninguno</t>
        </is>
      </c>
      <c r="C36" s="406" t="n"/>
      <c r="D36" s="460" t="n"/>
      <c r="E36" s="301" t="n"/>
      <c r="F36" s="301" t="n"/>
      <c r="G36" s="407" t="inlineStr">
        <is>
          <t>Sueldo Fátima</t>
        </is>
      </c>
      <c r="H36" s="407" t="inlineStr">
        <is>
          <t>Ninguno</t>
        </is>
      </c>
      <c r="I36" s="408" t="n">
        <v>0</v>
      </c>
      <c r="J36" s="461" t="n"/>
      <c r="K36" s="301" t="n"/>
      <c r="L36" s="301" t="n"/>
    </row>
    <row r="37" ht="15" customHeight="1" s="221">
      <c r="A37" s="410" t="inlineStr">
        <is>
          <t>Cajubi Marco</t>
        </is>
      </c>
      <c r="B37" s="410" t="inlineStr">
        <is>
          <t>Ninguno</t>
        </is>
      </c>
      <c r="C37" s="411" t="n"/>
      <c r="D37" s="463" t="n"/>
      <c r="E37" s="301" t="n"/>
      <c r="F37" s="301" t="n"/>
      <c r="G37" s="403" t="inlineStr">
        <is>
          <t>Honorario Contador</t>
        </is>
      </c>
      <c r="H37" s="403" t="inlineStr">
        <is>
          <t>Ninguno</t>
        </is>
      </c>
      <c r="I37" s="404" t="n">
        <v>0</v>
      </c>
      <c r="J37" s="459" t="n"/>
      <c r="K37" s="301" t="n"/>
      <c r="L37" s="301" t="n"/>
    </row>
    <row r="38" ht="15" customHeight="1" s="221">
      <c r="A38" s="405" t="inlineStr">
        <is>
          <t>Mutual Marco</t>
        </is>
      </c>
      <c r="B38" s="405" t="inlineStr">
        <is>
          <t>Ninguno</t>
        </is>
      </c>
      <c r="C38" s="406" t="n"/>
      <c r="D38" s="460" t="n"/>
      <c r="E38" s="301" t="n"/>
      <c r="F38" s="301" t="n"/>
      <c r="G38" s="407" t="inlineStr">
        <is>
          <t>Salario Administrador</t>
        </is>
      </c>
      <c r="H38" s="407" t="inlineStr">
        <is>
          <t>Ninguno</t>
        </is>
      </c>
      <c r="I38" s="408" t="n">
        <v>0</v>
      </c>
      <c r="J38" s="461" t="n"/>
      <c r="K38" s="301" t="n"/>
      <c r="L38" s="301" t="n"/>
    </row>
    <row r="39" ht="15" customHeight="1" s="221">
      <c r="A39" s="410" t="inlineStr">
        <is>
          <t>Ña Luisa</t>
        </is>
      </c>
      <c r="B39" s="410" t="inlineStr">
        <is>
          <t>Ninguno</t>
        </is>
      </c>
      <c r="C39" s="411" t="n"/>
      <c r="D39" s="463" t="n"/>
      <c r="E39" s="301" t="n"/>
      <c r="F39" s="301" t="n"/>
      <c r="G39" s="403" t="inlineStr">
        <is>
          <t>Honorario Mant. Sistema</t>
        </is>
      </c>
      <c r="H39" s="403" t="inlineStr">
        <is>
          <t>Ninguno</t>
        </is>
      </c>
      <c r="I39" s="404" t="n">
        <v>0</v>
      </c>
      <c r="J39" s="459" t="n"/>
      <c r="K39" s="301" t="n"/>
      <c r="L39" s="301" t="n"/>
    </row>
    <row r="40" ht="15" customHeight="1" s="221">
      <c r="A40" s="405" t="inlineStr">
        <is>
          <t>Seguro Médico Papá y Mamá</t>
        </is>
      </c>
      <c r="B40" s="405" t="inlineStr">
        <is>
          <t>Ninguno</t>
        </is>
      </c>
      <c r="C40" s="406" t="n"/>
      <c r="D40" s="460" t="n"/>
      <c r="E40" s="301" t="n"/>
      <c r="F40" s="301" t="n"/>
      <c r="G40" s="400" t="inlineStr">
        <is>
          <t>► TELEFONÍA E INTERNET ✏️</t>
        </is>
      </c>
      <c r="K40" s="301" t="n"/>
      <c r="L40" s="301" t="n"/>
    </row>
    <row r="41" ht="15" customHeight="1" s="221">
      <c r="A41" s="413" t="inlineStr">
        <is>
          <t>► CUOTAS Y PRÉSTAMOS ✏️</t>
        </is>
      </c>
      <c r="B41" s="256" t="n"/>
      <c r="C41" s="256" t="n"/>
      <c r="D41" s="353" t="n"/>
      <c r="E41" s="301" t="n"/>
      <c r="F41" s="301" t="n"/>
      <c r="G41" s="403" t="inlineStr">
        <is>
          <t>Celular Tigo NeuroTEA</t>
        </is>
      </c>
      <c r="H41" s="403" t="inlineStr">
        <is>
          <t>Ninguno</t>
        </is>
      </c>
      <c r="I41" s="404" t="n">
        <v>0</v>
      </c>
      <c r="J41" s="459" t="n"/>
      <c r="K41" s="301" t="n"/>
      <c r="L41" s="301" t="n"/>
    </row>
    <row r="42" ht="15" customHeight="1" s="221">
      <c r="A42" s="410" t="inlineStr">
        <is>
          <t>Auto Laura Cuota</t>
        </is>
      </c>
      <c r="B42" s="410" t="inlineStr">
        <is>
          <t>Ninguno</t>
        </is>
      </c>
      <c r="C42" s="411" t="n"/>
      <c r="D42" s="463" t="n"/>
      <c r="E42" s="301" t="n"/>
      <c r="F42" s="301" t="n"/>
      <c r="G42" s="407" t="inlineStr">
        <is>
          <t>Celular Tigo Sistema</t>
        </is>
      </c>
      <c r="H42" s="407" t="inlineStr">
        <is>
          <t>Ninguno</t>
        </is>
      </c>
      <c r="I42" s="408" t="n">
        <v>0</v>
      </c>
      <c r="J42" s="461" t="n"/>
      <c r="K42" s="301" t="n"/>
      <c r="L42" s="301" t="n"/>
    </row>
    <row r="43" ht="15" customHeight="1" s="221">
      <c r="A43" s="405" t="inlineStr">
        <is>
          <t>Coop. Universitaria Clara</t>
        </is>
      </c>
      <c r="B43" s="405" t="inlineStr">
        <is>
          <t>Ninguno</t>
        </is>
      </c>
      <c r="C43" s="406" t="n"/>
      <c r="D43" s="460" t="n"/>
      <c r="E43" s="301" t="n"/>
      <c r="F43" s="301" t="n"/>
      <c r="G43" s="403" t="inlineStr">
        <is>
          <t>WhatsFlow</t>
        </is>
      </c>
      <c r="H43" s="403" t="inlineStr">
        <is>
          <t>Ninguno</t>
        </is>
      </c>
      <c r="I43" s="404" t="n">
        <v>0</v>
      </c>
      <c r="J43" s="459" t="n"/>
      <c r="K43" s="301" t="n"/>
      <c r="L43" s="301" t="n"/>
    </row>
    <row r="44" ht="15" customHeight="1" s="221">
      <c r="A44" s="410" t="inlineStr">
        <is>
          <t>Coomecipar Clara</t>
        </is>
      </c>
      <c r="B44" s="410" t="inlineStr">
        <is>
          <t>Ninguno</t>
        </is>
      </c>
      <c r="C44" s="411" t="n"/>
      <c r="D44" s="463" t="n"/>
      <c r="E44" s="301" t="n"/>
      <c r="F44" s="301" t="n"/>
      <c r="G44" s="407" t="inlineStr">
        <is>
          <t>Internet NeuroTEA</t>
        </is>
      </c>
      <c r="H44" s="407" t="inlineStr">
        <is>
          <t>Ninguno</t>
        </is>
      </c>
      <c r="I44" s="408" t="n">
        <v>0</v>
      </c>
      <c r="J44" s="461" t="n"/>
      <c r="K44" s="301" t="n"/>
      <c r="L44" s="301" t="n"/>
    </row>
    <row r="45" ht="15" customHeight="1" s="221">
      <c r="A45" s="414" t="inlineStr">
        <is>
          <t>Tarjeta Cred. Coomecipar</t>
        </is>
      </c>
      <c r="B45" s="414" t="inlineStr">
        <is>
          <t>Ninguno</t>
        </is>
      </c>
      <c r="C45" s="415" t="n"/>
      <c r="D45" s="465" t="n"/>
      <c r="E45" s="301" t="n"/>
      <c r="F45" s="301" t="n"/>
      <c r="G45" s="400" t="inlineStr">
        <is>
          <t>► IMPUESTOS ✏️</t>
        </is>
      </c>
      <c r="K45" s="301" t="n"/>
      <c r="L45" s="301" t="n"/>
    </row>
    <row r="46" ht="15" customHeight="1" s="221">
      <c r="A46" s="401" t="inlineStr">
        <is>
          <t>Solar Préstamo 1</t>
        </is>
      </c>
      <c r="B46" s="401" t="inlineStr">
        <is>
          <t>Ninguno</t>
        </is>
      </c>
      <c r="C46" s="402" t="n"/>
      <c r="D46" s="458" t="n"/>
      <c r="E46" s="301" t="n"/>
      <c r="F46" s="301" t="n"/>
      <c r="G46" s="403" t="inlineStr">
        <is>
          <t>IVA</t>
        </is>
      </c>
      <c r="H46" s="403" t="inlineStr">
        <is>
          <t>Ninguno</t>
        </is>
      </c>
      <c r="I46" s="404" t="n">
        <v>0</v>
      </c>
      <c r="J46" s="459" t="n"/>
      <c r="K46" s="301" t="n"/>
      <c r="L46" s="301" t="n"/>
    </row>
    <row r="47" ht="15" customHeight="1" s="221">
      <c r="A47" s="405" t="inlineStr">
        <is>
          <t>Solar Préstamo 2</t>
        </is>
      </c>
      <c r="B47" s="405" t="inlineStr">
        <is>
          <t>Ninguno</t>
        </is>
      </c>
      <c r="C47" s="406" t="n"/>
      <c r="D47" s="460" t="n"/>
      <c r="E47" s="301" t="n"/>
      <c r="F47" s="301" t="n"/>
      <c r="G47" s="400" t="inlineStr">
        <is>
          <t>► EVENTOS NT ✏️</t>
        </is>
      </c>
      <c r="K47" s="301" t="n"/>
      <c r="L47" s="301" t="n"/>
    </row>
    <row r="48" ht="15" customHeight="1" s="221">
      <c r="A48" s="410" t="inlineStr">
        <is>
          <t>Préstamo Lizzi Sueldos</t>
        </is>
      </c>
      <c r="B48" s="410" t="inlineStr">
        <is>
          <t>Ninguno</t>
        </is>
      </c>
      <c r="C48" s="411" t="n"/>
      <c r="D48" s="463" t="n"/>
      <c r="E48" s="301" t="n"/>
      <c r="F48" s="301" t="n"/>
      <c r="G48" s="403" t="inlineStr">
        <is>
          <t>Día del Niño NT</t>
        </is>
      </c>
      <c r="H48" s="403" t="inlineStr">
        <is>
          <t>Ninguno</t>
        </is>
      </c>
      <c r="I48" s="404" t="n">
        <v>0</v>
      </c>
      <c r="J48" s="459" t="n"/>
      <c r="K48" s="301" t="n"/>
      <c r="L48" s="301" t="n"/>
    </row>
    <row r="49" ht="15" customHeight="1" s="221">
      <c r="A49" s="405" t="inlineStr">
        <is>
          <t>Show Congelador</t>
        </is>
      </c>
      <c r="B49" s="405" t="inlineStr">
        <is>
          <t>Ninguno</t>
        </is>
      </c>
      <c r="C49" s="406" t="n"/>
      <c r="D49" s="460" t="n"/>
      <c r="E49" s="301" t="n"/>
      <c r="F49" s="301" t="n"/>
      <c r="G49" s="407" t="inlineStr">
        <is>
          <t>San Juan NT</t>
        </is>
      </c>
      <c r="H49" s="407" t="inlineStr">
        <is>
          <t>Ninguno</t>
        </is>
      </c>
      <c r="I49" s="408" t="n">
        <v>0</v>
      </c>
      <c r="J49" s="461" t="n"/>
      <c r="K49" s="301" t="n"/>
      <c r="L49" s="301" t="n"/>
    </row>
    <row r="50" ht="15" customHeight="1" s="221">
      <c r="A50" s="410" t="inlineStr">
        <is>
          <t>Olier Heladera</t>
        </is>
      </c>
      <c r="B50" s="410" t="inlineStr">
        <is>
          <t>Ninguno</t>
        </is>
      </c>
      <c r="C50" s="411" t="n"/>
      <c r="D50" s="463" t="n"/>
      <c r="E50" s="301" t="n"/>
      <c r="F50" s="301" t="n"/>
      <c r="G50" s="403" t="inlineStr">
        <is>
          <t>Día del Autismo NT</t>
        </is>
      </c>
      <c r="H50" s="403" t="inlineStr">
        <is>
          <t>Ninguno</t>
        </is>
      </c>
      <c r="I50" s="404" t="n">
        <v>0</v>
      </c>
      <c r="J50" s="459" t="n"/>
      <c r="K50" s="301" t="n"/>
      <c r="L50" s="301" t="n"/>
    </row>
    <row r="51" ht="15" customHeight="1" s="221">
      <c r="A51" s="413" t="inlineStr">
        <is>
          <t>► SUSCRIPCIONES E INTERNET ✏️</t>
        </is>
      </c>
      <c r="B51" s="256" t="n"/>
      <c r="C51" s="256" t="n"/>
      <c r="D51" s="353" t="n"/>
      <c r="E51" s="301" t="n"/>
      <c r="F51" s="301" t="n"/>
      <c r="G51" s="407" t="inlineStr">
        <is>
          <t>Clausura Padres NT</t>
        </is>
      </c>
      <c r="H51" s="407" t="inlineStr">
        <is>
          <t>Ninguno</t>
        </is>
      </c>
      <c r="I51" s="408" t="n">
        <v>0</v>
      </c>
      <c r="J51" s="461" t="n"/>
      <c r="K51" s="301" t="n"/>
      <c r="L51" s="301" t="n"/>
    </row>
    <row r="52" ht="15" customHeight="1" s="221">
      <c r="A52" s="410" t="inlineStr">
        <is>
          <t>Giganet</t>
        </is>
      </c>
      <c r="B52" s="410" t="inlineStr">
        <is>
          <t>Ninguno</t>
        </is>
      </c>
      <c r="C52" s="411" t="n"/>
      <c r="D52" s="463" t="n"/>
      <c r="E52" s="301" t="n"/>
      <c r="F52" s="301" t="n"/>
      <c r="G52" s="403" t="inlineStr">
        <is>
          <t>Navidad Papá Noel NT</t>
        </is>
      </c>
      <c r="H52" s="403" t="inlineStr">
        <is>
          <t>Ninguno</t>
        </is>
      </c>
      <c r="I52" s="404" t="n">
        <v>0</v>
      </c>
      <c r="J52" s="459" t="n"/>
      <c r="K52" s="301" t="n"/>
      <c r="L52" s="301" t="n"/>
    </row>
    <row r="53" ht="15" customHeight="1" s="221">
      <c r="A53" s="405" t="inlineStr">
        <is>
          <t>Tigo Internet/Celulares</t>
        </is>
      </c>
      <c r="B53" s="405" t="inlineStr">
        <is>
          <t>Ninguno</t>
        </is>
      </c>
      <c r="C53" s="406" t="n"/>
      <c r="D53" s="460" t="n"/>
      <c r="E53" s="301" t="n"/>
      <c r="F53" s="301" t="n"/>
      <c r="G53" s="407" t="inlineStr">
        <is>
          <t>Cena Fin de Año NT</t>
        </is>
      </c>
      <c r="H53" s="407" t="inlineStr">
        <is>
          <t>Ninguno</t>
        </is>
      </c>
      <c r="I53" s="408" t="n">
        <v>0</v>
      </c>
      <c r="J53" s="461" t="n"/>
      <c r="K53" s="301" t="n"/>
      <c r="L53" s="301" t="n"/>
    </row>
    <row r="54" ht="15" customHeight="1" s="221">
      <c r="A54" s="410" t="inlineStr">
        <is>
          <t>Tigo Familiar</t>
        </is>
      </c>
      <c r="B54" s="410" t="inlineStr">
        <is>
          <t>Ninguno</t>
        </is>
      </c>
      <c r="C54" s="411" t="n"/>
      <c r="D54" s="463" t="n"/>
      <c r="E54" s="301" t="n"/>
      <c r="F54" s="301" t="n"/>
      <c r="G54" s="400" t="inlineStr">
        <is>
          <t>► GASTOS VARIABLES NT 🔗</t>
        </is>
      </c>
      <c r="K54" s="301" t="n"/>
      <c r="L54" s="301" t="n"/>
    </row>
    <row r="55" ht="15" customHeight="1" s="221">
      <c r="A55" s="405" t="inlineStr">
        <is>
          <t>Google One</t>
        </is>
      </c>
      <c r="B55" s="405" t="inlineStr">
        <is>
          <t>Ninguno</t>
        </is>
      </c>
      <c r="C55" s="406" t="n"/>
      <c r="D55" s="460" t="n"/>
      <c r="E55" s="301" t="n"/>
      <c r="F55" s="301" t="n"/>
      <c r="G55" s="403" t="inlineStr">
        <is>
          <t>Insumos NT</t>
        </is>
      </c>
      <c r="H55" s="403" t="inlineStr">
        <is>
          <t>Ninguno</t>
        </is>
      </c>
      <c r="I55" s="404">
        <f>SUMIFS('Ing-Egr Diciembre 2026'!F4:F103,'Ing-Egr Diciembre 2026'!B4:B103,"Egreso NT",'Ing-Egr Diciembre 2026'!C4:C103,G55)</f>
        <v/>
      </c>
      <c r="J55" s="459" t="n"/>
      <c r="K55" s="301" t="n"/>
      <c r="L55" s="301" t="n"/>
    </row>
    <row r="56" ht="15" customHeight="1" s="221">
      <c r="A56" s="410" t="inlineStr">
        <is>
          <t>ChatGPT</t>
        </is>
      </c>
      <c r="B56" s="410" t="inlineStr">
        <is>
          <t>Ninguno</t>
        </is>
      </c>
      <c r="C56" s="411" t="n"/>
      <c r="D56" s="463" t="n"/>
      <c r="E56" s="301" t="n"/>
      <c r="F56" s="301" t="n"/>
      <c r="G56" s="407" t="inlineStr">
        <is>
          <t>Papelería NT</t>
        </is>
      </c>
      <c r="H56" s="407" t="inlineStr">
        <is>
          <t>Ninguno</t>
        </is>
      </c>
      <c r="I56" s="408">
        <f>SUMIFS('Ing-Egr Diciembre 2026'!F4:F103,'Ing-Egr Diciembre 2026'!B4:B103,"Egreso NT",'Ing-Egr Diciembre 2026'!C4:C103,G56)</f>
        <v/>
      </c>
      <c r="J56" s="461" t="n"/>
      <c r="K56" s="301" t="n"/>
      <c r="L56" s="301" t="n"/>
    </row>
    <row r="57" ht="15" customHeight="1" s="221">
      <c r="A57" s="414" t="inlineStr">
        <is>
          <t>Claude Marco</t>
        </is>
      </c>
      <c r="B57" s="414" t="inlineStr">
        <is>
          <t>Ninguno</t>
        </is>
      </c>
      <c r="C57" s="415" t="n"/>
      <c r="D57" s="465" t="n"/>
      <c r="E57" s="301" t="n"/>
      <c r="F57" s="301" t="n"/>
      <c r="G57" s="403" t="inlineStr">
        <is>
          <t>Mantenimiento NT</t>
        </is>
      </c>
      <c r="H57" s="403" t="inlineStr">
        <is>
          <t>Ninguno</t>
        </is>
      </c>
      <c r="I57" s="404">
        <f>SUMIFS('Ing-Egr Diciembre 2026'!F4:F103,'Ing-Egr Diciembre 2026'!B4:B103,"Egreso NT",'Ing-Egr Diciembre 2026'!C4:C103,G57)</f>
        <v/>
      </c>
      <c r="J57" s="459" t="n"/>
      <c r="K57" s="301" t="n"/>
      <c r="L57" s="301" t="n"/>
    </row>
    <row r="58" ht="15" customHeight="1" s="221">
      <c r="A58" s="401" t="inlineStr">
        <is>
          <t>Claude Clara</t>
        </is>
      </c>
      <c r="B58" s="401" t="inlineStr">
        <is>
          <t>Ninguno</t>
        </is>
      </c>
      <c r="C58" s="402" t="n"/>
      <c r="D58" s="458" t="n"/>
      <c r="E58" s="301" t="n"/>
      <c r="F58" s="301" t="n"/>
      <c r="G58" s="407" t="inlineStr">
        <is>
          <t>Gastos Cursos NT</t>
        </is>
      </c>
      <c r="H58" s="407" t="inlineStr">
        <is>
          <t>Ninguno</t>
        </is>
      </c>
      <c r="I58" s="416">
        <f>SUMIFS('Ing-Egr Diciembre 2026'!F4:F103,'Ing-Egr Diciembre 2026'!B4:B103,"Egreso NT",'Ing-Egr Diciembre 2026'!C4:C103,G58)</f>
        <v/>
      </c>
      <c r="J58" s="461" t="n"/>
      <c r="K58" s="301" t="n"/>
      <c r="L58" s="301" t="n"/>
    </row>
    <row r="59" ht="15" customHeight="1" s="221">
      <c r="A59" s="405" t="inlineStr">
        <is>
          <t>iLovePDF</t>
        </is>
      </c>
      <c r="B59" s="405" t="inlineStr">
        <is>
          <t>Ninguno</t>
        </is>
      </c>
      <c r="C59" s="406" t="n"/>
      <c r="D59" s="460" t="n"/>
      <c r="E59" s="301" t="n"/>
      <c r="F59" s="301" t="n"/>
      <c r="G59" s="403" t="inlineStr">
        <is>
          <t>Gastos Varios NT</t>
        </is>
      </c>
      <c r="H59" s="403" t="inlineStr">
        <is>
          <t>Ninguno</t>
        </is>
      </c>
      <c r="I59" s="417">
        <f>SUMIFS('Ing-Egr Diciembre 2026'!F4:F103,'Ing-Egr Diciembre 2026'!B4:B103,"Egreso NT",'Ing-Egr Diciembre 2026'!C4:C103,G59)</f>
        <v/>
      </c>
      <c r="J59" s="459" t="n"/>
      <c r="K59" s="301" t="n"/>
      <c r="L59" s="301" t="n"/>
    </row>
    <row r="60" ht="15" customHeight="1" s="221">
      <c r="A60" s="410" t="inlineStr">
        <is>
          <t>Scribd</t>
        </is>
      </c>
      <c r="B60" s="410" t="inlineStr">
        <is>
          <t>Ninguno</t>
        </is>
      </c>
      <c r="C60" s="411" t="n"/>
      <c r="D60" s="463" t="n"/>
      <c r="E60" s="301" t="n"/>
      <c r="F60" s="301" t="n"/>
      <c r="G60" s="407" t="inlineStr">
        <is>
          <t>Reserva NT 1</t>
        </is>
      </c>
      <c r="H60" s="407" t="inlineStr">
        <is>
          <t>Ninguno</t>
        </is>
      </c>
      <c r="I60" s="408">
        <f>SUMIFS('Ing-Egr Diciembre 2026'!F4:F103,'Ing-Egr Diciembre 2026'!B4:B103,"Egreso NT",'Ing-Egr Diciembre 2026'!C4:C103,G60)</f>
        <v/>
      </c>
      <c r="J60" s="461" t="n"/>
      <c r="K60" s="301" t="n"/>
      <c r="L60" s="301" t="n"/>
    </row>
    <row r="61" ht="15" customHeight="1" s="221">
      <c r="A61" s="405" t="inlineStr">
        <is>
          <t>Netflix</t>
        </is>
      </c>
      <c r="B61" s="405" t="inlineStr">
        <is>
          <t>Ninguno</t>
        </is>
      </c>
      <c r="C61" s="406" t="n"/>
      <c r="D61" s="460" t="n"/>
      <c r="E61" s="301" t="n"/>
      <c r="F61" s="301" t="n"/>
      <c r="G61" s="403" t="inlineStr">
        <is>
          <t>Reserva NT 2</t>
        </is>
      </c>
      <c r="H61" s="403" t="inlineStr">
        <is>
          <t>Ninguno</t>
        </is>
      </c>
      <c r="I61" s="404">
        <f>SUMIFS('Ing-Egr Diciembre 2026'!F4:F103,'Ing-Egr Diciembre 2026'!B4:B103,"Egreso NT",'Ing-Egr Diciembre 2026'!C4:C103,G61)</f>
        <v/>
      </c>
      <c r="J61" s="459" t="n"/>
      <c r="K61" s="301" t="n"/>
      <c r="L61" s="301" t="n"/>
    </row>
    <row r="62" ht="15" customHeight="1" s="221">
      <c r="A62" s="413" t="inlineStr">
        <is>
          <t>► GASTOS VARIABLES 🔗</t>
        </is>
      </c>
      <c r="B62" s="256" t="n"/>
      <c r="C62" s="256" t="n"/>
      <c r="D62" s="353" t="n"/>
      <c r="E62" s="301" t="n"/>
      <c r="F62" s="301" t="n"/>
      <c r="G62" s="407" t="inlineStr">
        <is>
          <t>Reserva NT 3</t>
        </is>
      </c>
      <c r="H62" s="407" t="inlineStr">
        <is>
          <t>Ninguno</t>
        </is>
      </c>
      <c r="I62" s="408">
        <f>SUMIFS('Ing-Egr Diciembre 2026'!F4:F103,'Ing-Egr Diciembre 2026'!B4:B103,"Egreso NT",'Ing-Egr Diciembre 2026'!C4:C103,G62)</f>
        <v/>
      </c>
      <c r="J62" s="461" t="n"/>
      <c r="K62" s="301" t="n"/>
      <c r="L62" s="301" t="n"/>
    </row>
    <row r="63" ht="15" customHeight="1" s="221">
      <c r="A63" s="410" t="inlineStr">
        <is>
          <t>Combustible</t>
        </is>
      </c>
      <c r="B63" s="410" t="inlineStr">
        <is>
          <t>Ninguno</t>
        </is>
      </c>
      <c r="C63" s="411">
        <f>SUMIFS('Ing-Egr Diciembre 2026'!F4:F103,'Ing-Egr Diciembre 2026'!B4:B103,"Egreso Familiar",'Ing-Egr Diciembre 2026'!C4:C103,A63)</f>
        <v/>
      </c>
      <c r="D63" s="463" t="n"/>
      <c r="E63" s="301" t="n"/>
      <c r="F63" s="301" t="n"/>
      <c r="G63" s="301" t="n"/>
      <c r="H63" s="301" t="n"/>
      <c r="I63" s="301" t="n"/>
      <c r="J63" s="466" t="n"/>
      <c r="K63" s="301" t="n"/>
      <c r="L63" s="301" t="n"/>
    </row>
    <row r="64" ht="15" customHeight="1" s="221">
      <c r="A64" s="405" t="inlineStr">
        <is>
          <t>Supermercado</t>
        </is>
      </c>
      <c r="B64" s="405" t="inlineStr">
        <is>
          <t>Ninguno</t>
        </is>
      </c>
      <c r="C64" s="406">
        <f>SUMIFS('Ing-Egr Diciembre 2026'!F4:F103,'Ing-Egr Diciembre 2026'!B4:B103,"Egreso Familiar",'Ing-Egr Diciembre 2026'!C4:C103,A64)</f>
        <v/>
      </c>
      <c r="D64" s="460" t="n"/>
      <c r="E64" s="301" t="n"/>
      <c r="F64" s="301" t="n"/>
      <c r="G64" s="418" t="inlineStr">
        <is>
          <t>TOTAL NT PAGADOS</t>
        </is>
      </c>
      <c r="I64" s="419">
        <f>SUMIF(H30:H62,"Pagado",I30:I62)</f>
        <v/>
      </c>
      <c r="J64" s="467" t="n"/>
      <c r="K64" s="301" t="n"/>
      <c r="L64" s="301" t="n"/>
    </row>
    <row r="65" ht="15" customHeight="1" s="221">
      <c r="A65" s="410" t="inlineStr">
        <is>
          <t>Farmacia</t>
        </is>
      </c>
      <c r="B65" s="410" t="inlineStr">
        <is>
          <t>Ninguno</t>
        </is>
      </c>
      <c r="C65" s="411">
        <f>SUMIFS('Ing-Egr Diciembre 2026'!F4:F103,'Ing-Egr Diciembre 2026'!B4:B103,"Egreso Familiar",'Ing-Egr Diciembre 2026'!C4:C103,A65)</f>
        <v/>
      </c>
      <c r="D65" s="468">
        <f>C72</f>
        <v/>
      </c>
      <c r="E65" s="301" t="n"/>
      <c r="F65" s="301" t="n"/>
      <c r="G65" s="422" t="inlineStr">
        <is>
          <t>TOTAL NT PENDIENTES</t>
        </is>
      </c>
      <c r="I65" s="423">
        <f>SUMIF(H30:H62,"Pendiente",I30:I62)</f>
        <v/>
      </c>
      <c r="J65" s="469" t="n"/>
      <c r="K65" s="301" t="n"/>
      <c r="L65" s="301" t="n"/>
    </row>
    <row r="66" ht="15" customHeight="1" s="221">
      <c r="A66" s="405" t="inlineStr">
        <is>
          <t>Recreación</t>
        </is>
      </c>
      <c r="B66" s="405" t="inlineStr">
        <is>
          <t>Ninguno</t>
        </is>
      </c>
      <c r="C66" s="406">
        <f>SUMIFS('Ing-Egr Diciembre 2026'!F4:F103,'Ing-Egr Diciembre 2026'!B4:B103,"Egreso Familiar",'Ing-Egr Diciembre 2026'!C4:C103,A66)</f>
        <v/>
      </c>
      <c r="D66" s="470">
        <f>C73</f>
        <v/>
      </c>
      <c r="E66" s="301" t="n"/>
      <c r="F66" s="301" t="n"/>
      <c r="G66" s="301" t="n"/>
      <c r="H66" s="301" t="n"/>
      <c r="I66" s="301" t="n"/>
      <c r="J66" s="466" t="n"/>
      <c r="K66" s="301" t="n"/>
      <c r="L66" s="301" t="n"/>
    </row>
    <row r="67" ht="15" customHeight="1" s="221">
      <c r="A67" s="410" t="inlineStr">
        <is>
          <t>Gastos Varios</t>
        </is>
      </c>
      <c r="B67" s="410" t="inlineStr">
        <is>
          <t>Ninguno</t>
        </is>
      </c>
      <c r="C67" s="411">
        <f>SUMIFS('Ing-Egr Diciembre 2026'!F4:F103,'Ing-Egr Diciembre 2026'!B4:B103,"Egreso Familiar",'Ing-Egr Diciembre 2026'!C4:C103,A67)</f>
        <v/>
      </c>
      <c r="D67" s="463" t="n"/>
      <c r="E67" s="301" t="n"/>
      <c r="F67" s="301" t="n"/>
      <c r="G67" s="386" t="inlineStr">
        <is>
          <t>📊 SALUD FINANCIERA NEUROTEA</t>
        </is>
      </c>
      <c r="L67" s="301" t="n"/>
    </row>
    <row r="68" ht="15" customHeight="1" s="221">
      <c r="A68" s="405" t="inlineStr">
        <is>
          <t>Reserva Fam 1</t>
        </is>
      </c>
      <c r="B68" s="405" t="inlineStr">
        <is>
          <t>Ninguno</t>
        </is>
      </c>
      <c r="C68" s="406">
        <f>SUMIFS('Ing-Egr Diciembre 2026'!F4:F103,'Ing-Egr Diciembre 2026'!B4:B103,"Egreso Familiar",'Ing-Egr Diciembre 2026'!C4:C103,A68)</f>
        <v/>
      </c>
      <c r="D68" s="460" t="n"/>
      <c r="E68" s="301" t="n"/>
      <c r="F68" s="301" t="n"/>
      <c r="G68" s="398" t="inlineStr">
        <is>
          <t>Concepto</t>
        </is>
      </c>
      <c r="H68" s="398" t="inlineStr">
        <is>
          <t>% Ideal</t>
        </is>
      </c>
      <c r="I68" s="426" t="inlineStr">
        <is>
          <t>Monto Ideal</t>
        </is>
      </c>
      <c r="J68" s="471" t="inlineStr">
        <is>
          <t>Monto Real</t>
        </is>
      </c>
      <c r="K68" s="398" t="inlineStr">
        <is>
          <t>Estado</t>
        </is>
      </c>
      <c r="L68" s="301" t="n"/>
    </row>
    <row r="69" ht="15" customHeight="1" s="221">
      <c r="A69" s="410" t="inlineStr">
        <is>
          <t>Reserva Fam 2</t>
        </is>
      </c>
      <c r="B69" s="410" t="inlineStr">
        <is>
          <t>Ninguno</t>
        </is>
      </c>
      <c r="C69" s="411">
        <f>SUMIFS('Ing-Egr Diciembre 2026'!F4:F103,'Ing-Egr Diciembre 2026'!B4:B103,"Egreso Familiar",'Ing-Egr Diciembre 2026'!C4:C103,A69)</f>
        <v/>
      </c>
      <c r="D69" s="463" t="n"/>
      <c r="E69" s="301" t="n"/>
      <c r="F69" s="301" t="n"/>
      <c r="G69" s="301" t="inlineStr">
        <is>
          <t>Gastos Operativos (máx 75%)</t>
        </is>
      </c>
      <c r="H69" s="427" t="n">
        <v>0.75</v>
      </c>
      <c r="I69" s="328">
        <f>J12*0.75</f>
        <v/>
      </c>
      <c r="J69" s="466">
        <f>I64+I65</f>
        <v/>
      </c>
      <c r="K69" s="428">
        <f>IF(J12=0,"-",IF(J69/J12&lt;=0.75,"🟢 OK",IF(J69/J12&lt;=0.9,"🟡 PRECAUCIÓN","🔴 ALARMA")))</f>
        <v/>
      </c>
      <c r="L69" s="301" t="n"/>
    </row>
    <row r="70" ht="15" customHeight="1" s="221">
      <c r="A70" s="414" t="inlineStr">
        <is>
          <t>Reserva Fam 3</t>
        </is>
      </c>
      <c r="B70" s="414" t="inlineStr">
        <is>
          <t>Ninguno</t>
        </is>
      </c>
      <c r="C70" s="415">
        <f>SUMIFS('Ing-Egr Diciembre 2026'!F4:F103,'Ing-Egr Diciembre 2026'!B4:B103,"Egreso Familiar",'Ing-Egr Diciembre 2026'!C4:C103,A70)</f>
        <v/>
      </c>
      <c r="D70" s="465" t="n"/>
      <c r="E70" s="301" t="n"/>
      <c r="F70" s="301" t="n"/>
      <c r="G70" s="301" t="inlineStr">
        <is>
          <t>Ganancia (10%)</t>
        </is>
      </c>
      <c r="H70" s="427" t="n">
        <v>0.1</v>
      </c>
      <c r="I70" s="328">
        <f>J12*0.1</f>
        <v/>
      </c>
      <c r="J70" s="466">
        <f>D22</f>
        <v/>
      </c>
      <c r="K70" s="429">
        <f>IF(J70&gt;=I70,"🟢","🔴")</f>
        <v/>
      </c>
      <c r="L70" s="301" t="n"/>
    </row>
    <row r="71" ht="15" customHeight="1" s="221">
      <c r="A71" s="301" t="n"/>
      <c r="B71" s="301" t="n"/>
      <c r="C71" s="301" t="n"/>
      <c r="D71" s="301" t="n"/>
      <c r="E71" s="301" t="n"/>
      <c r="F71" s="301" t="n"/>
      <c r="G71" s="301" t="inlineStr">
        <is>
          <t>Inversiones (5%)</t>
        </is>
      </c>
      <c r="H71" s="427" t="n">
        <v>0.05</v>
      </c>
      <c r="I71" s="328">
        <f>J12*0.05</f>
        <v/>
      </c>
      <c r="J71" s="328" t="n">
        <v>0</v>
      </c>
      <c r="K71" s="429">
        <f>IF(J71&gt;=I71,"🟢","🔴")</f>
        <v/>
      </c>
      <c r="L71" s="301" t="n"/>
    </row>
    <row r="72" ht="15" customHeight="1" s="221">
      <c r="A72" s="430" t="inlineStr">
        <is>
          <t>TOTAL FAM. PAGADOS</t>
        </is>
      </c>
      <c r="B72" s="353" t="n"/>
      <c r="C72" s="431">
        <f>SUMIF(B30:B70,"Pagado",C30:C70)</f>
        <v/>
      </c>
      <c r="D72" s="432" t="n"/>
      <c r="E72" s="301" t="n"/>
      <c r="F72" s="301" t="n"/>
      <c r="G72" s="301" t="inlineStr">
        <is>
          <t>Imprevistos (5%)</t>
        </is>
      </c>
      <c r="H72" s="427" t="n">
        <v>0.05</v>
      </c>
      <c r="I72" s="328">
        <f>J12*0.05</f>
        <v/>
      </c>
      <c r="J72" s="328" t="n">
        <v>0</v>
      </c>
      <c r="K72" s="429">
        <f>IF(J72&gt;=I72,"🟢","🔴")</f>
        <v/>
      </c>
      <c r="L72" s="301" t="n"/>
    </row>
    <row r="73" ht="15" customHeight="1" s="221">
      <c r="A73" s="433" t="inlineStr">
        <is>
          <t>TOTAL FAM. PENDIENTES</t>
        </is>
      </c>
      <c r="B73" s="353" t="n"/>
      <c r="C73" s="434">
        <f>SUMIF(B30:B70,"Pendiente",C30:C70)</f>
        <v/>
      </c>
      <c r="D73" s="435" t="n"/>
      <c r="E73" s="301" t="n"/>
      <c r="F73" s="301" t="n"/>
      <c r="G73" s="301" t="inlineStr">
        <is>
          <t>Desvío Imprevisto (5%)</t>
        </is>
      </c>
      <c r="H73" s="427" t="n">
        <v>0.05</v>
      </c>
      <c r="I73" s="328">
        <f>J12*0.05</f>
        <v/>
      </c>
      <c r="J73" s="328" t="n">
        <v>0</v>
      </c>
      <c r="K73" s="429">
        <f>IF(J73&gt;=I73,"🟢","🔴")</f>
        <v/>
      </c>
      <c r="L73" s="301" t="n"/>
    </row>
    <row r="74" ht="15" customHeight="1" s="221">
      <c r="A74" s="354" t="n"/>
      <c r="B74" s="354" t="n"/>
      <c r="C74" s="359" t="n"/>
      <c r="D74" s="360" t="n"/>
      <c r="E74" s="301" t="n"/>
      <c r="F74" s="301" t="n"/>
      <c r="G74" s="223" t="inlineStr">
        <is>
          <t>TOTAL</t>
        </is>
      </c>
      <c r="H74" s="436">
        <f>SUM(H69:H73)</f>
        <v/>
      </c>
      <c r="I74" s="437">
        <f>SUM(I69:I73)</f>
        <v/>
      </c>
      <c r="J74" s="437">
        <f>SUM(J69:J73)</f>
        <v/>
      </c>
      <c r="K74" s="301" t="n"/>
      <c r="L74" s="301" t="n"/>
    </row>
    <row r="75" ht="15" customHeight="1" s="221">
      <c r="A75" s="354" t="n"/>
      <c r="B75" s="354" t="n"/>
      <c r="C75" s="359" t="n"/>
      <c r="D75" s="360" t="n"/>
      <c r="E75" s="301" t="n"/>
      <c r="F75" s="301" t="n"/>
      <c r="G75" s="301" t="n"/>
      <c r="H75" s="301" t="n"/>
      <c r="I75" s="301" t="n"/>
      <c r="J75" s="301" t="n"/>
      <c r="K75" s="301" t="n"/>
      <c r="L75" s="301" t="n"/>
    </row>
    <row r="76" ht="15" customHeight="1" s="221">
      <c r="A76" s="354" t="n"/>
      <c r="B76" s="354" t="n"/>
      <c r="C76" s="359" t="n"/>
      <c r="D76" s="360" t="n"/>
      <c r="E76" s="301" t="n"/>
      <c r="F76" s="301" t="n"/>
      <c r="G76" s="223" t="inlineStr">
        <is>
          <t>% GASTOS SOBRE INGRESO:</t>
        </is>
      </c>
      <c r="H76" s="301" t="n"/>
      <c r="I76" s="301" t="n"/>
      <c r="J76" s="438">
        <f>IF(J12=0,0,J69/J12)</f>
        <v/>
      </c>
      <c r="K76" s="301" t="n"/>
      <c r="L76" s="301" t="n"/>
    </row>
    <row r="77" ht="15" customHeight="1" s="221">
      <c r="A77" s="354" t="n"/>
      <c r="B77" s="354" t="n"/>
      <c r="C77" s="359" t="n"/>
      <c r="D77" s="360" t="n"/>
      <c r="E77" s="301" t="n"/>
      <c r="F77" s="301" t="n"/>
      <c r="G77" s="223" t="inlineStr">
        <is>
          <t>DIAGNÓSTICO:</t>
        </is>
      </c>
      <c r="H77" s="301" t="n"/>
      <c r="I77" s="301" t="n"/>
      <c r="J77" s="439">
        <f>IF(J12=0,"Sin datos",IF(J69/J12&lt;=0.75,"🟢 CLÍNICA SANA",IF(J69/J12&lt;=0.9,"🟡 REVISAR GASTOS","🔴 SITUACIÓN CRÍTICA")))</f>
        <v/>
      </c>
      <c r="L77" s="301" t="n"/>
    </row>
    <row r="78" ht="15" customHeight="1" s="221">
      <c r="A78" s="354" t="n"/>
      <c r="B78" s="354" t="n"/>
      <c r="C78" s="359" t="n"/>
      <c r="D78" s="360" t="n"/>
      <c r="E78" s="301" t="n"/>
      <c r="F78" s="301" t="n"/>
      <c r="G78" s="301" t="n"/>
      <c r="H78" s="301" t="n"/>
      <c r="I78" s="301" t="n"/>
      <c r="J78" s="301" t="n"/>
      <c r="K78" s="301" t="n"/>
      <c r="L78" s="301" t="n"/>
    </row>
    <row r="79" ht="15" customHeight="1" s="221">
      <c r="A79" s="354" t="n"/>
      <c r="B79" s="354" t="n"/>
      <c r="C79" s="359" t="n"/>
      <c r="D79" s="360" t="n"/>
      <c r="E79" s="301" t="n"/>
      <c r="F79" s="301" t="n"/>
      <c r="G79" s="301" t="n"/>
      <c r="H79" s="301" t="n"/>
      <c r="I79" s="301" t="n"/>
      <c r="J79" s="301" t="n"/>
      <c r="K79" s="301" t="n"/>
      <c r="L79" s="301" t="n"/>
    </row>
    <row r="80" ht="15" customHeight="1" s="221">
      <c r="A80" s="301" t="n"/>
      <c r="B80" s="301" t="n"/>
      <c r="C80" s="328" t="n"/>
      <c r="D80" s="301" t="n"/>
      <c r="E80" s="301" t="n"/>
      <c r="F80" s="301" t="n"/>
      <c r="G80" s="301" t="n"/>
      <c r="H80" s="301" t="n"/>
      <c r="I80" s="301" t="n"/>
      <c r="J80" s="301" t="n"/>
      <c r="K80" s="301" t="n"/>
      <c r="L80" s="301" t="n"/>
    </row>
    <row r="81" ht="15.75" customHeight="1" s="221">
      <c r="A81" s="301" t="n"/>
      <c r="B81" s="301" t="n"/>
      <c r="C81" s="328" t="n"/>
      <c r="D81" s="301" t="n"/>
      <c r="E81" s="301" t="n"/>
      <c r="F81" s="301" t="n"/>
      <c r="G81" s="301" t="n"/>
      <c r="H81" s="301" t="n"/>
      <c r="I81" s="301" t="n"/>
      <c r="J81" s="301" t="n"/>
      <c r="K81" s="301" t="n"/>
      <c r="L81" s="301" t="n"/>
    </row>
    <row r="82" ht="15.75" customHeight="1" s="221">
      <c r="A82" s="301" t="n"/>
      <c r="B82" s="301" t="n"/>
      <c r="C82" s="328" t="n"/>
      <c r="D82" s="301" t="n"/>
      <c r="E82" s="301" t="n"/>
      <c r="F82" s="301" t="n"/>
      <c r="G82" s="301" t="n"/>
      <c r="H82" s="301" t="n"/>
      <c r="I82" s="301" t="n"/>
      <c r="J82" s="301" t="n"/>
      <c r="K82" s="301" t="n"/>
      <c r="L82" s="301" t="n"/>
    </row>
    <row r="83" ht="15" customHeight="1" s="221">
      <c r="A83" s="301" t="n"/>
      <c r="B83" s="301" t="n"/>
      <c r="C83" s="301" t="n"/>
      <c r="D83" s="301" t="n"/>
      <c r="E83" s="301" t="n"/>
      <c r="F83" s="301" t="n"/>
      <c r="G83" s="301" t="n"/>
      <c r="H83" s="301" t="n"/>
      <c r="I83" s="301" t="n"/>
      <c r="J83" s="301" t="n"/>
      <c r="K83" s="301" t="n"/>
      <c r="L83" s="301" t="n"/>
    </row>
    <row r="84" ht="15" customHeight="1" s="221">
      <c r="A84" s="301" t="n"/>
      <c r="B84" s="301" t="n"/>
      <c r="C84" s="301" t="n"/>
      <c r="D84" s="301" t="n"/>
      <c r="E84" s="301" t="n"/>
      <c r="F84" s="301" t="n"/>
      <c r="G84" s="301" t="n"/>
      <c r="H84" s="301" t="n"/>
      <c r="I84" s="301" t="n"/>
      <c r="J84" s="301" t="n"/>
      <c r="K84" s="301" t="n"/>
      <c r="L84" s="301" t="n"/>
    </row>
    <row r="85" ht="15" customHeight="1" s="221">
      <c r="A85" s="354" t="n"/>
      <c r="B85" s="354" t="n"/>
      <c r="C85" s="354" t="n"/>
      <c r="D85" s="354" t="n"/>
      <c r="E85" s="301" t="n"/>
      <c r="F85" s="301" t="n"/>
      <c r="G85" s="301" t="n"/>
      <c r="H85" s="301" t="n"/>
      <c r="I85" s="301" t="n"/>
      <c r="J85" s="301" t="n"/>
      <c r="K85" s="301" t="n"/>
      <c r="L85" s="301" t="n"/>
    </row>
    <row r="86" ht="15" customHeight="1" s="221">
      <c r="A86" s="301" t="n"/>
      <c r="B86" s="301" t="n"/>
      <c r="C86" s="301" t="n"/>
      <c r="D86" s="301" t="n"/>
      <c r="E86" s="301" t="n"/>
      <c r="F86" s="301" t="n"/>
      <c r="G86" s="301" t="n"/>
      <c r="H86" s="301" t="n"/>
      <c r="I86" s="301" t="n"/>
      <c r="J86" s="301" t="n"/>
      <c r="K86" s="301" t="n"/>
      <c r="L86" s="301" t="n"/>
    </row>
    <row r="87" ht="15" customHeight="1" s="221">
      <c r="A87" s="354" t="n"/>
      <c r="B87" s="354" t="n"/>
      <c r="C87" s="359" t="n"/>
      <c r="D87" s="360" t="n"/>
      <c r="E87" s="301" t="n"/>
      <c r="F87" s="301" t="n"/>
      <c r="G87" s="301" t="n"/>
      <c r="H87" s="301" t="n"/>
      <c r="I87" s="301" t="n"/>
      <c r="J87" s="301" t="n"/>
      <c r="K87" s="301" t="n"/>
      <c r="L87" s="301" t="n"/>
    </row>
    <row r="88" ht="15" customHeight="1" s="221">
      <c r="A88" s="354" t="n"/>
      <c r="B88" s="354" t="n"/>
      <c r="C88" s="359" t="n"/>
      <c r="D88" s="360" t="n"/>
      <c r="E88" s="301" t="n"/>
      <c r="F88" s="301" t="n"/>
      <c r="G88" s="301" t="n"/>
      <c r="H88" s="301" t="n"/>
      <c r="I88" s="301" t="n"/>
      <c r="J88" s="301" t="n"/>
      <c r="K88" s="301" t="n"/>
      <c r="L88" s="301" t="n"/>
    </row>
    <row r="89" ht="15" customHeight="1" s="221">
      <c r="A89" s="354" t="n"/>
      <c r="B89" s="354" t="n"/>
      <c r="C89" s="359" t="n"/>
      <c r="D89" s="360" t="n"/>
      <c r="E89" s="301" t="n"/>
      <c r="F89" s="301" t="n"/>
      <c r="G89" s="301" t="n"/>
      <c r="H89" s="301" t="n"/>
      <c r="I89" s="301" t="n"/>
      <c r="J89" s="301" t="n"/>
      <c r="K89" s="301" t="n"/>
      <c r="L89" s="301" t="n"/>
    </row>
    <row r="90" ht="15" customHeight="1" s="221">
      <c r="A90" s="354" t="n"/>
      <c r="B90" s="354" t="n"/>
      <c r="C90" s="359" t="n"/>
      <c r="D90" s="360" t="n"/>
      <c r="E90" s="301" t="n"/>
      <c r="F90" s="301" t="n"/>
      <c r="G90" s="301" t="n"/>
      <c r="H90" s="301" t="n"/>
      <c r="I90" s="301" t="n"/>
      <c r="J90" s="301" t="n"/>
      <c r="K90" s="301" t="n"/>
      <c r="L90" s="301" t="n"/>
    </row>
    <row r="91" ht="15" customHeight="1" s="221">
      <c r="A91" s="301" t="n"/>
      <c r="B91" s="301" t="n"/>
      <c r="C91" s="328" t="n"/>
      <c r="D91" s="301" t="n"/>
      <c r="E91" s="301" t="n"/>
      <c r="F91" s="301" t="n"/>
      <c r="G91" s="301" t="n"/>
      <c r="H91" s="301" t="n"/>
      <c r="I91" s="301" t="n"/>
      <c r="J91" s="301" t="n"/>
      <c r="K91" s="301" t="n"/>
      <c r="L91" s="301" t="n"/>
    </row>
    <row r="92" ht="15" customHeight="1" s="221">
      <c r="A92" s="301" t="n"/>
      <c r="B92" s="301" t="n"/>
      <c r="C92" s="301" t="n"/>
      <c r="D92" s="301" t="n"/>
      <c r="E92" s="301" t="n"/>
      <c r="F92" s="301" t="n"/>
      <c r="G92" s="301" t="n"/>
      <c r="H92" s="301" t="n"/>
      <c r="I92" s="301" t="n"/>
      <c r="J92" s="301" t="n"/>
      <c r="K92" s="301" t="n"/>
      <c r="L92" s="301" t="n"/>
    </row>
    <row r="93" ht="15" customHeight="1" s="221">
      <c r="A93" s="354" t="n"/>
      <c r="B93" s="354" t="n"/>
      <c r="C93" s="359" t="n"/>
      <c r="D93" s="360" t="n"/>
      <c r="E93" s="301" t="n"/>
      <c r="F93" s="301" t="n"/>
      <c r="G93" s="301" t="n"/>
      <c r="H93" s="301" t="n"/>
      <c r="I93" s="301" t="n"/>
      <c r="J93" s="301" t="n"/>
      <c r="K93" s="301" t="n"/>
      <c r="L93" s="301" t="n"/>
    </row>
    <row r="94" ht="15" customHeight="1" s="221">
      <c r="A94" s="354" t="n"/>
      <c r="B94" s="354" t="n"/>
      <c r="C94" s="359" t="n"/>
      <c r="D94" s="360" t="n"/>
      <c r="E94" s="301" t="n"/>
      <c r="F94" s="301" t="n"/>
      <c r="G94" s="301" t="n"/>
      <c r="H94" s="301" t="n"/>
      <c r="I94" s="301" t="n"/>
      <c r="J94" s="301" t="n"/>
      <c r="K94" s="301" t="n"/>
      <c r="L94" s="301" t="n"/>
    </row>
    <row r="95" ht="15" customHeight="1" s="221">
      <c r="A95" s="354" t="n"/>
      <c r="B95" s="354" t="n"/>
      <c r="C95" s="359" t="n"/>
      <c r="D95" s="360" t="n"/>
      <c r="E95" s="301" t="n"/>
      <c r="F95" s="301" t="n"/>
      <c r="G95" s="301" t="n"/>
      <c r="H95" s="301" t="n"/>
      <c r="I95" s="301" t="n"/>
      <c r="J95" s="301" t="n"/>
      <c r="K95" s="301" t="n"/>
      <c r="L95" s="301" t="n"/>
    </row>
    <row r="96" ht="15" customHeight="1" s="221">
      <c r="A96" s="354" t="n"/>
      <c r="B96" s="354" t="n"/>
      <c r="C96" s="359" t="n"/>
      <c r="D96" s="360" t="n"/>
      <c r="E96" s="301" t="n"/>
      <c r="F96" s="301" t="n"/>
      <c r="G96" s="301" t="n"/>
      <c r="H96" s="301" t="n"/>
      <c r="I96" s="301" t="n"/>
      <c r="J96" s="301" t="n"/>
      <c r="K96" s="301" t="n"/>
      <c r="L96" s="301" t="n"/>
    </row>
    <row r="97" ht="15" customHeight="1" s="221">
      <c r="A97" s="354" t="n"/>
      <c r="B97" s="354" t="n"/>
      <c r="C97" s="359" t="n"/>
      <c r="D97" s="360" t="n"/>
      <c r="E97" s="301" t="n"/>
      <c r="F97" s="301" t="n"/>
      <c r="G97" s="301" t="n"/>
      <c r="H97" s="301" t="n"/>
      <c r="I97" s="301" t="n"/>
      <c r="J97" s="301" t="n"/>
      <c r="K97" s="301" t="n"/>
      <c r="L97" s="301" t="n"/>
    </row>
    <row r="98" ht="15" customHeight="1" s="221">
      <c r="A98" s="354" t="n"/>
      <c r="B98" s="354" t="n"/>
      <c r="C98" s="359" t="n"/>
      <c r="D98" s="360" t="n"/>
      <c r="E98" s="301" t="n"/>
      <c r="F98" s="301" t="n"/>
      <c r="G98" s="301" t="n"/>
      <c r="H98" s="301" t="n"/>
      <c r="I98" s="301" t="n"/>
      <c r="J98" s="301" t="n"/>
      <c r="K98" s="301" t="n"/>
      <c r="L98" s="301" t="n"/>
    </row>
    <row r="99" ht="15" customHeight="1" s="221">
      <c r="A99" s="301" t="n"/>
      <c r="B99" s="301" t="n"/>
      <c r="C99" s="328" t="n"/>
      <c r="D99" s="301" t="n"/>
      <c r="E99" s="301" t="n"/>
      <c r="F99" s="301" t="n"/>
      <c r="G99" s="301" t="n"/>
      <c r="H99" s="301" t="n"/>
      <c r="I99" s="301" t="n"/>
      <c r="J99" s="301" t="n"/>
      <c r="K99" s="301" t="n"/>
      <c r="L99" s="301" t="n"/>
    </row>
    <row r="100" ht="15" customHeight="1" s="221">
      <c r="A100" s="301" t="n"/>
      <c r="B100" s="301" t="n"/>
      <c r="C100" s="301" t="n"/>
      <c r="D100" s="301" t="n"/>
      <c r="E100" s="301" t="n"/>
      <c r="F100" s="301" t="n"/>
      <c r="G100" s="301" t="n"/>
      <c r="H100" s="301" t="n"/>
      <c r="I100" s="301" t="n"/>
      <c r="J100" s="301" t="n"/>
      <c r="K100" s="301" t="n"/>
      <c r="L100" s="301" t="n"/>
    </row>
    <row r="101" ht="15" customHeight="1" s="221">
      <c r="A101" s="354" t="n"/>
      <c r="B101" s="354" t="n"/>
      <c r="C101" s="359" t="n"/>
      <c r="D101" s="360" t="n"/>
      <c r="E101" s="301" t="n"/>
      <c r="F101" s="301" t="n"/>
      <c r="G101" s="301" t="n"/>
      <c r="H101" s="301" t="n"/>
      <c r="I101" s="301" t="n"/>
      <c r="J101" s="301" t="n"/>
      <c r="K101" s="301" t="n"/>
      <c r="L101" s="301" t="n"/>
    </row>
    <row r="102" ht="15" customHeight="1" s="221">
      <c r="A102" s="354" t="n"/>
      <c r="B102" s="354" t="n"/>
      <c r="C102" s="359" t="n"/>
      <c r="D102" s="360" t="n"/>
      <c r="E102" s="301" t="n"/>
      <c r="F102" s="301" t="n"/>
      <c r="G102" s="301" t="n"/>
      <c r="H102" s="301" t="n"/>
      <c r="I102" s="301" t="n"/>
      <c r="J102" s="301" t="n"/>
      <c r="K102" s="301" t="n"/>
      <c r="L102" s="301" t="n"/>
    </row>
    <row r="103" ht="15" customHeight="1" s="221">
      <c r="A103" s="354" t="n"/>
      <c r="B103" s="354" t="n"/>
      <c r="C103" s="359" t="n"/>
      <c r="D103" s="360" t="n"/>
      <c r="E103" s="301" t="n"/>
      <c r="F103" s="301" t="n"/>
      <c r="G103" s="301" t="n"/>
      <c r="H103" s="301" t="n"/>
      <c r="I103" s="301" t="n"/>
      <c r="J103" s="301" t="n"/>
      <c r="K103" s="301" t="n"/>
      <c r="L103" s="301" t="n"/>
    </row>
    <row r="104" ht="15" customHeight="1" s="221">
      <c r="A104" s="354" t="n"/>
      <c r="B104" s="354" t="n"/>
      <c r="C104" s="359" t="n"/>
      <c r="D104" s="360" t="n"/>
      <c r="E104" s="301" t="n"/>
      <c r="F104" s="301" t="n"/>
      <c r="G104" s="301" t="n"/>
      <c r="H104" s="301" t="n"/>
      <c r="I104" s="301" t="n"/>
      <c r="J104" s="301" t="n"/>
      <c r="K104" s="301" t="n"/>
      <c r="L104" s="301" t="n"/>
    </row>
    <row r="105" ht="15" customHeight="1" s="221">
      <c r="A105" s="354" t="n"/>
      <c r="B105" s="354" t="n"/>
      <c r="C105" s="359" t="n"/>
      <c r="D105" s="360" t="n"/>
      <c r="E105" s="301" t="n"/>
      <c r="F105" s="301" t="n"/>
      <c r="G105" s="301" t="n"/>
      <c r="H105" s="301" t="n"/>
      <c r="I105" s="301" t="n"/>
      <c r="J105" s="301" t="n"/>
      <c r="K105" s="301" t="n"/>
      <c r="L105" s="301" t="n"/>
    </row>
    <row r="106" ht="15" customHeight="1" s="221">
      <c r="A106" s="301" t="n"/>
      <c r="B106" s="301" t="n"/>
      <c r="C106" s="328" t="n"/>
      <c r="D106" s="301" t="n"/>
      <c r="E106" s="301" t="n"/>
      <c r="F106" s="301" t="n"/>
      <c r="G106" s="301" t="n"/>
      <c r="H106" s="301" t="n"/>
      <c r="I106" s="301" t="n"/>
      <c r="J106" s="301" t="n"/>
      <c r="K106" s="301" t="n"/>
      <c r="L106" s="301" t="n"/>
    </row>
    <row r="107" ht="15" customHeight="1" s="221">
      <c r="A107" s="301" t="n"/>
      <c r="B107" s="301" t="n"/>
      <c r="C107" s="301" t="n"/>
      <c r="D107" s="301" t="n"/>
      <c r="E107" s="301" t="n"/>
      <c r="F107" s="301" t="n"/>
      <c r="G107" s="301" t="n"/>
      <c r="H107" s="301" t="n"/>
      <c r="I107" s="301" t="n"/>
      <c r="J107" s="301" t="n"/>
      <c r="K107" s="301" t="n"/>
      <c r="L107" s="301" t="n"/>
    </row>
    <row r="108" ht="15" customHeight="1" s="221">
      <c r="A108" s="354" t="n"/>
      <c r="B108" s="354" t="n"/>
      <c r="C108" s="359" t="n"/>
      <c r="D108" s="360" t="n"/>
      <c r="E108" s="301" t="n"/>
      <c r="F108" s="301" t="n"/>
      <c r="G108" s="301" t="n"/>
      <c r="H108" s="301" t="n"/>
      <c r="I108" s="301" t="n"/>
      <c r="J108" s="301" t="n"/>
      <c r="K108" s="301" t="n"/>
      <c r="L108" s="301" t="n"/>
    </row>
    <row r="109" ht="15" customHeight="1" s="221">
      <c r="A109" s="354" t="n"/>
      <c r="B109" s="354" t="n"/>
      <c r="C109" s="359" t="n"/>
      <c r="D109" s="360" t="n"/>
      <c r="E109" s="301" t="n"/>
      <c r="F109" s="301" t="n"/>
      <c r="G109" s="301" t="n"/>
      <c r="H109" s="301" t="n"/>
      <c r="I109" s="301" t="n"/>
      <c r="J109" s="301" t="n"/>
      <c r="K109" s="301" t="n"/>
      <c r="L109" s="301" t="n"/>
    </row>
    <row r="110" ht="15" customHeight="1" s="221">
      <c r="A110" s="301" t="n"/>
      <c r="B110" s="301" t="n"/>
      <c r="C110" s="328" t="n"/>
      <c r="D110" s="301" t="n"/>
      <c r="E110" s="301" t="n"/>
      <c r="F110" s="301" t="n"/>
      <c r="G110" s="301" t="n"/>
      <c r="H110" s="301" t="n"/>
      <c r="I110" s="301" t="n"/>
      <c r="J110" s="301" t="n"/>
      <c r="K110" s="301" t="n"/>
      <c r="L110" s="301" t="n"/>
    </row>
    <row r="111" ht="15" customHeight="1" s="221">
      <c r="A111" s="301" t="n"/>
      <c r="B111" s="301" t="n"/>
      <c r="C111" s="301" t="n"/>
      <c r="D111" s="301" t="n"/>
      <c r="E111" s="301" t="n"/>
      <c r="F111" s="301" t="n"/>
      <c r="G111" s="301" t="n"/>
      <c r="H111" s="301" t="n"/>
      <c r="I111" s="301" t="n"/>
      <c r="J111" s="301" t="n"/>
      <c r="K111" s="301" t="n"/>
      <c r="L111" s="301" t="n"/>
    </row>
    <row r="112" ht="15" customHeight="1" s="221">
      <c r="A112" s="354" t="n"/>
      <c r="B112" s="354" t="n"/>
      <c r="C112" s="359" t="n"/>
      <c r="D112" s="360" t="n"/>
      <c r="E112" s="301" t="n"/>
      <c r="F112" s="301" t="n"/>
      <c r="G112" s="301" t="n"/>
      <c r="H112" s="301" t="n"/>
      <c r="I112" s="301" t="n"/>
      <c r="J112" s="301" t="n"/>
      <c r="K112" s="301" t="n"/>
      <c r="L112" s="301" t="n"/>
    </row>
    <row r="113" ht="15" customHeight="1" s="221">
      <c r="A113" s="354" t="n"/>
      <c r="B113" s="354" t="n"/>
      <c r="C113" s="359" t="n"/>
      <c r="D113" s="360" t="n"/>
      <c r="E113" s="301" t="n"/>
      <c r="F113" s="301" t="n"/>
      <c r="G113" s="301" t="n"/>
      <c r="H113" s="301" t="n"/>
      <c r="I113" s="301" t="n"/>
      <c r="J113" s="301" t="n"/>
      <c r="K113" s="301" t="n"/>
      <c r="L113" s="301" t="n"/>
    </row>
    <row r="114" ht="15" customHeight="1" s="221">
      <c r="A114" s="354" t="n"/>
      <c r="B114" s="354" t="n"/>
      <c r="C114" s="359" t="n"/>
      <c r="D114" s="360" t="n"/>
      <c r="E114" s="301" t="n"/>
      <c r="F114" s="301" t="n"/>
      <c r="G114" s="301" t="n"/>
      <c r="H114" s="301" t="n"/>
      <c r="I114" s="301" t="n"/>
      <c r="J114" s="301" t="n"/>
      <c r="K114" s="301" t="n"/>
      <c r="L114" s="301" t="n"/>
    </row>
    <row r="115" ht="15" customHeight="1" s="221">
      <c r="A115" s="354" t="n"/>
      <c r="B115" s="354" t="n"/>
      <c r="C115" s="359" t="n"/>
      <c r="D115" s="360" t="n"/>
      <c r="E115" s="301" t="n"/>
      <c r="F115" s="301" t="n"/>
      <c r="G115" s="301" t="n"/>
      <c r="H115" s="301" t="n"/>
      <c r="I115" s="301" t="n"/>
      <c r="J115" s="301" t="n"/>
      <c r="K115" s="301" t="n"/>
      <c r="L115" s="301" t="n"/>
    </row>
    <row r="116" ht="15" customHeight="1" s="221">
      <c r="A116" s="354" t="n"/>
      <c r="B116" s="354" t="n"/>
      <c r="C116" s="359" t="n"/>
      <c r="D116" s="360" t="n"/>
      <c r="E116" s="301" t="n"/>
      <c r="F116" s="301" t="n"/>
      <c r="G116" s="301" t="n"/>
      <c r="H116" s="301" t="n"/>
      <c r="I116" s="301" t="n"/>
      <c r="J116" s="301" t="n"/>
      <c r="K116" s="301" t="n"/>
      <c r="L116" s="301" t="n"/>
    </row>
    <row r="117" ht="15" customHeight="1" s="221">
      <c r="A117" s="354" t="n"/>
      <c r="B117" s="354" t="n"/>
      <c r="C117" s="359" t="n"/>
      <c r="D117" s="360" t="n"/>
      <c r="E117" s="301" t="n"/>
      <c r="F117" s="301" t="n"/>
      <c r="G117" s="301" t="n"/>
      <c r="H117" s="301" t="n"/>
      <c r="I117" s="301" t="n"/>
      <c r="J117" s="301" t="n"/>
      <c r="K117" s="301" t="n"/>
      <c r="L117" s="301" t="n"/>
    </row>
    <row r="118" ht="15" customHeight="1" s="221">
      <c r="A118" s="354" t="n"/>
      <c r="B118" s="354" t="n"/>
      <c r="C118" s="359" t="n"/>
      <c r="D118" s="360" t="n"/>
      <c r="E118" s="301" t="n"/>
      <c r="F118" s="301" t="n"/>
      <c r="G118" s="301" t="n"/>
      <c r="H118" s="301" t="n"/>
      <c r="I118" s="301" t="n"/>
      <c r="J118" s="301" t="n"/>
      <c r="K118" s="301" t="n"/>
      <c r="L118" s="301" t="n"/>
    </row>
    <row r="119" ht="15" customHeight="1" s="221">
      <c r="A119" s="354" t="n"/>
      <c r="B119" s="354" t="n"/>
      <c r="C119" s="359" t="n"/>
      <c r="D119" s="360" t="n"/>
      <c r="E119" s="301" t="n"/>
      <c r="F119" s="301" t="n"/>
      <c r="G119" s="301" t="n"/>
      <c r="H119" s="301" t="n"/>
      <c r="I119" s="301" t="n"/>
      <c r="J119" s="301" t="n"/>
      <c r="K119" s="301" t="n"/>
      <c r="L119" s="301" t="n"/>
    </row>
    <row r="120" ht="15" customHeight="1" s="221">
      <c r="A120" s="354" t="n"/>
      <c r="B120" s="354" t="n"/>
      <c r="C120" s="359" t="n"/>
      <c r="D120" s="360" t="n"/>
      <c r="E120" s="301" t="n"/>
      <c r="F120" s="301" t="n"/>
      <c r="G120" s="301" t="n"/>
      <c r="H120" s="301" t="n"/>
      <c r="I120" s="301" t="n"/>
      <c r="J120" s="301" t="n"/>
      <c r="K120" s="301" t="n"/>
      <c r="L120" s="301" t="n"/>
    </row>
    <row r="121" ht="15" customHeight="1" s="221">
      <c r="A121" s="301" t="n"/>
      <c r="B121" s="301" t="n"/>
      <c r="C121" s="328" t="n"/>
      <c r="D121" s="301" t="n"/>
      <c r="E121" s="301" t="n"/>
      <c r="F121" s="301" t="n"/>
      <c r="G121" s="301" t="n"/>
      <c r="H121" s="301" t="n"/>
      <c r="I121" s="301" t="n"/>
      <c r="J121" s="301" t="n"/>
      <c r="K121" s="301" t="n"/>
      <c r="L121" s="301" t="n"/>
    </row>
    <row r="122" ht="15.75" customHeight="1" s="221">
      <c r="A122" s="301" t="n"/>
      <c r="B122" s="301" t="n"/>
      <c r="C122" s="328" t="n"/>
      <c r="D122" s="301" t="n"/>
      <c r="E122" s="301" t="n"/>
      <c r="F122" s="301" t="n"/>
      <c r="G122" s="301" t="n"/>
      <c r="H122" s="301" t="n"/>
      <c r="I122" s="301" t="n"/>
      <c r="J122" s="301" t="n"/>
      <c r="K122" s="301" t="n"/>
      <c r="L122" s="301" t="n"/>
    </row>
    <row r="123" ht="15.75" customHeight="1" s="221">
      <c r="A123" s="301" t="n"/>
      <c r="B123" s="301" t="n"/>
      <c r="C123" s="328" t="n"/>
      <c r="D123" s="301" t="n"/>
      <c r="E123" s="301" t="n"/>
      <c r="F123" s="301" t="n"/>
      <c r="G123" s="301" t="n"/>
      <c r="H123" s="301" t="n"/>
      <c r="I123" s="301" t="n"/>
      <c r="J123" s="301" t="n"/>
      <c r="K123" s="301" t="n"/>
      <c r="L123" s="301" t="n"/>
    </row>
    <row r="124" ht="15" customHeight="1" s="221">
      <c r="A124" s="301" t="n"/>
      <c r="B124" s="301" t="n"/>
      <c r="C124" s="301" t="n"/>
      <c r="D124" s="301" t="n"/>
      <c r="E124" s="301" t="n"/>
      <c r="F124" s="301" t="n"/>
      <c r="G124" s="301" t="n"/>
      <c r="H124" s="301" t="n"/>
      <c r="I124" s="301" t="n"/>
      <c r="J124" s="301" t="n"/>
      <c r="K124" s="301" t="n"/>
      <c r="L124" s="301" t="n"/>
    </row>
    <row r="125" ht="15" customHeight="1" s="221">
      <c r="A125" s="301" t="n"/>
      <c r="B125" s="301" t="n"/>
      <c r="C125" s="301" t="n"/>
      <c r="D125" s="301" t="n"/>
      <c r="E125" s="301" t="n"/>
      <c r="F125" s="301" t="n"/>
      <c r="G125" s="301" t="n"/>
      <c r="H125" s="301" t="n"/>
      <c r="I125" s="301" t="n"/>
      <c r="J125" s="301" t="n"/>
      <c r="K125" s="301" t="n"/>
      <c r="L125" s="301" t="n"/>
    </row>
    <row r="126" ht="15" customHeight="1" s="221">
      <c r="A126" s="301" t="n"/>
      <c r="B126" s="301" t="n"/>
      <c r="C126" s="301" t="n"/>
      <c r="D126" s="301" t="n"/>
      <c r="E126" s="301" t="n"/>
      <c r="F126" s="301" t="n"/>
      <c r="G126" s="301" t="n"/>
      <c r="H126" s="301" t="n"/>
      <c r="I126" s="301" t="n"/>
      <c r="J126" s="301" t="n"/>
      <c r="K126" s="301" t="n"/>
      <c r="L126" s="301" t="n"/>
    </row>
    <row r="127" ht="15" customHeight="1" s="221">
      <c r="A127" s="301" t="n"/>
      <c r="B127" s="301" t="n"/>
      <c r="C127" s="301" t="n"/>
      <c r="D127" s="301" t="n"/>
      <c r="E127" s="301" t="n"/>
      <c r="F127" s="301" t="n"/>
      <c r="G127" s="301" t="n"/>
      <c r="H127" s="301" t="n"/>
      <c r="I127" s="301" t="n"/>
      <c r="J127" s="301" t="n"/>
      <c r="K127" s="301" t="n"/>
      <c r="L127" s="301" t="n"/>
    </row>
    <row r="128" ht="15" customHeight="1" s="221">
      <c r="A128" s="301" t="n"/>
      <c r="B128" s="301" t="n"/>
      <c r="C128" s="301" t="n"/>
      <c r="D128" s="301" t="n"/>
      <c r="E128" s="301" t="n"/>
      <c r="F128" s="301" t="n"/>
      <c r="G128" s="301" t="n"/>
      <c r="H128" s="301" t="n"/>
      <c r="I128" s="301" t="n"/>
      <c r="J128" s="301" t="n"/>
      <c r="K128" s="301" t="n"/>
      <c r="L128" s="301" t="n"/>
    </row>
    <row r="129" ht="15" customHeight="1" s="221">
      <c r="A129" s="301" t="n"/>
      <c r="B129" s="301" t="n"/>
      <c r="C129" s="301" t="n"/>
      <c r="D129" s="301" t="n"/>
      <c r="E129" s="301" t="n"/>
      <c r="F129" s="301" t="n"/>
      <c r="G129" s="301" t="n"/>
      <c r="H129" s="301" t="n"/>
      <c r="I129" s="301" t="n"/>
      <c r="J129" s="301" t="n"/>
      <c r="K129" s="301" t="n"/>
      <c r="L129" s="301" t="n"/>
    </row>
    <row r="130" ht="15" customHeight="1" s="221">
      <c r="A130" s="301" t="n"/>
      <c r="B130" s="301" t="n"/>
      <c r="C130" s="301" t="n"/>
      <c r="D130" s="301" t="n"/>
      <c r="E130" s="301" t="n"/>
      <c r="F130" s="301" t="n"/>
      <c r="G130" s="301" t="n"/>
      <c r="H130" s="301" t="n"/>
      <c r="I130" s="301" t="n"/>
      <c r="J130" s="301" t="n"/>
      <c r="K130" s="301" t="n"/>
      <c r="L130" s="301" t="n"/>
    </row>
    <row r="131" ht="15" customHeight="1" s="221">
      <c r="A131" s="301" t="n"/>
      <c r="B131" s="301" t="n"/>
      <c r="C131" s="301" t="n"/>
      <c r="D131" s="301" t="n"/>
      <c r="E131" s="301" t="n"/>
      <c r="F131" s="301" t="n"/>
      <c r="G131" s="301" t="n"/>
      <c r="H131" s="301" t="n"/>
      <c r="I131" s="301" t="n"/>
      <c r="J131" s="301" t="n"/>
      <c r="K131" s="301" t="n"/>
      <c r="L131" s="301" t="n"/>
    </row>
    <row r="132" ht="15" customHeight="1" s="221">
      <c r="A132" s="301" t="n"/>
      <c r="B132" s="301" t="n"/>
      <c r="C132" s="301" t="n"/>
      <c r="D132" s="301" t="n"/>
      <c r="E132" s="301" t="n"/>
      <c r="F132" s="301" t="n"/>
      <c r="G132" s="301" t="n"/>
      <c r="H132" s="301" t="n"/>
      <c r="I132" s="301" t="n"/>
      <c r="J132" s="301" t="n"/>
      <c r="K132" s="301" t="n"/>
      <c r="L132" s="301" t="n"/>
    </row>
    <row r="133" ht="15" customHeight="1" s="221">
      <c r="A133" s="301" t="n"/>
      <c r="B133" s="301" t="n"/>
      <c r="C133" s="301" t="n"/>
      <c r="D133" s="301" t="n"/>
      <c r="E133" s="301" t="n"/>
      <c r="F133" s="301" t="n"/>
      <c r="G133" s="301" t="n"/>
      <c r="H133" s="301" t="n"/>
      <c r="I133" s="301" t="n"/>
      <c r="J133" s="301" t="n"/>
      <c r="K133" s="301" t="n"/>
      <c r="L133" s="301" t="n"/>
    </row>
    <row r="134" ht="15" customHeight="1" s="221">
      <c r="A134" s="301" t="n"/>
      <c r="B134" s="301" t="n"/>
      <c r="C134" s="301" t="n"/>
      <c r="D134" s="301" t="n"/>
      <c r="E134" s="301" t="n"/>
      <c r="F134" s="301" t="n"/>
      <c r="G134" s="301" t="n"/>
      <c r="H134" s="301" t="n"/>
      <c r="I134" s="301" t="n"/>
      <c r="J134" s="301" t="n"/>
      <c r="K134" s="301" t="n"/>
      <c r="L134" s="301" t="n"/>
    </row>
    <row r="135" ht="15" customHeight="1" s="221">
      <c r="A135" s="301" t="n"/>
      <c r="B135" s="301" t="n"/>
      <c r="C135" s="301" t="n"/>
      <c r="D135" s="301" t="n"/>
      <c r="E135" s="301" t="n"/>
      <c r="F135" s="301" t="n"/>
      <c r="G135" s="301" t="n"/>
      <c r="H135" s="301" t="n"/>
      <c r="I135" s="301" t="n"/>
      <c r="J135" s="301" t="n"/>
      <c r="K135" s="301" t="n"/>
      <c r="L135" s="301" t="n"/>
    </row>
    <row r="136" ht="15" customHeight="1" s="221">
      <c r="A136" s="301" t="n"/>
      <c r="B136" s="301" t="n"/>
      <c r="C136" s="301" t="n"/>
      <c r="D136" s="301" t="n"/>
      <c r="E136" s="301" t="n"/>
      <c r="F136" s="301" t="n"/>
      <c r="G136" s="301" t="n"/>
      <c r="H136" s="301" t="n"/>
      <c r="I136" s="301" t="n"/>
      <c r="J136" s="301" t="n"/>
      <c r="K136" s="301" t="n"/>
      <c r="L136" s="301" t="n"/>
    </row>
    <row r="137" ht="15" customHeight="1" s="221">
      <c r="A137" s="301" t="n"/>
      <c r="B137" s="301" t="n"/>
      <c r="C137" s="301" t="n"/>
      <c r="D137" s="301" t="n"/>
      <c r="E137" s="301" t="n"/>
      <c r="F137" s="301" t="n"/>
      <c r="G137" s="301" t="n"/>
      <c r="H137" s="301" t="n"/>
      <c r="I137" s="301" t="n"/>
      <c r="J137" s="301" t="n"/>
      <c r="K137" s="301" t="n"/>
      <c r="L137" s="301" t="n"/>
    </row>
    <row r="138" ht="15" customHeight="1" s="221">
      <c r="A138" s="301" t="n"/>
      <c r="B138" s="301" t="n"/>
      <c r="C138" s="301" t="n"/>
      <c r="D138" s="301" t="n"/>
      <c r="E138" s="301" t="n"/>
      <c r="F138" s="301" t="n"/>
      <c r="G138" s="301" t="n"/>
      <c r="H138" s="301" t="n"/>
      <c r="I138" s="301" t="n"/>
      <c r="J138" s="301" t="n"/>
      <c r="K138" s="301" t="n"/>
      <c r="L138" s="301" t="n"/>
    </row>
    <row r="139" ht="15" customHeight="1" s="221">
      <c r="A139" s="301" t="n"/>
      <c r="B139" s="301" t="n"/>
      <c r="C139" s="301" t="n"/>
      <c r="D139" s="301" t="n"/>
      <c r="E139" s="301" t="n"/>
      <c r="F139" s="301" t="n"/>
      <c r="G139" s="301" t="n"/>
      <c r="H139" s="301" t="n"/>
      <c r="I139" s="301" t="n"/>
      <c r="J139" s="301" t="n"/>
      <c r="K139" s="301" t="n"/>
      <c r="L139" s="301" t="n"/>
    </row>
    <row r="140" ht="15" customHeight="1" s="221">
      <c r="A140" s="301" t="n"/>
      <c r="B140" s="301" t="n"/>
      <c r="C140" s="301" t="n"/>
      <c r="D140" s="301" t="n"/>
      <c r="E140" s="301" t="n"/>
      <c r="F140" s="301" t="n"/>
      <c r="G140" s="301" t="n"/>
      <c r="H140" s="301" t="n"/>
      <c r="I140" s="301" t="n"/>
      <c r="J140" s="301" t="n"/>
      <c r="K140" s="301" t="n"/>
      <c r="L140" s="301" t="n"/>
    </row>
    <row r="141" ht="15" customHeight="1" s="221">
      <c r="A141" s="301" t="n"/>
      <c r="B141" s="301" t="n"/>
      <c r="C141" s="301" t="n"/>
      <c r="D141" s="301" t="n"/>
      <c r="E141" s="301" t="n"/>
      <c r="F141" s="301" t="n"/>
      <c r="G141" s="301" t="n"/>
      <c r="H141" s="301" t="n"/>
      <c r="I141" s="301" t="n"/>
      <c r="J141" s="301" t="n"/>
      <c r="K141" s="301" t="n"/>
      <c r="L141" s="301" t="n"/>
    </row>
    <row r="142" ht="15" customHeight="1" s="221">
      <c r="A142" s="301" t="n"/>
      <c r="B142" s="301" t="n"/>
      <c r="C142" s="301" t="n"/>
      <c r="D142" s="301" t="n"/>
      <c r="E142" s="301" t="n"/>
      <c r="F142" s="301" t="n"/>
      <c r="G142" s="301" t="n"/>
      <c r="H142" s="301" t="n"/>
      <c r="I142" s="301" t="n"/>
      <c r="J142" s="301" t="n"/>
      <c r="K142" s="301" t="n"/>
      <c r="L142" s="301" t="n"/>
    </row>
    <row r="143" ht="15" customHeight="1" s="221">
      <c r="A143" s="301" t="n"/>
      <c r="B143" s="301" t="n"/>
      <c r="C143" s="301" t="n"/>
      <c r="D143" s="301" t="n"/>
      <c r="E143" s="301" t="n"/>
      <c r="F143" s="301" t="n"/>
      <c r="G143" s="301" t="n"/>
      <c r="H143" s="301" t="n"/>
      <c r="I143" s="301" t="n"/>
      <c r="J143" s="301" t="n"/>
      <c r="K143" s="301" t="n"/>
      <c r="L143" s="301" t="n"/>
    </row>
    <row r="144" ht="15" customHeight="1" s="221">
      <c r="A144" s="301" t="n"/>
      <c r="B144" s="301" t="n"/>
      <c r="C144" s="301" t="n"/>
      <c r="D144" s="301" t="n"/>
      <c r="E144" s="301" t="n"/>
      <c r="F144" s="301" t="n"/>
      <c r="G144" s="301" t="n"/>
      <c r="H144" s="301" t="n"/>
      <c r="I144" s="301" t="n"/>
      <c r="J144" s="301" t="n"/>
      <c r="K144" s="301" t="n"/>
      <c r="L144" s="301" t="n"/>
    </row>
    <row r="145" ht="15" customHeight="1" s="221">
      <c r="A145" s="301" t="n"/>
      <c r="B145" s="301" t="n"/>
      <c r="C145" s="301" t="n"/>
      <c r="D145" s="301" t="n"/>
      <c r="E145" s="301" t="n"/>
      <c r="F145" s="301" t="n"/>
      <c r="G145" s="301" t="n"/>
      <c r="H145" s="301" t="n"/>
      <c r="I145" s="301" t="n"/>
      <c r="J145" s="301" t="n"/>
      <c r="K145" s="301" t="n"/>
      <c r="L145" s="301" t="n"/>
    </row>
    <row r="146" ht="15" customHeight="1" s="221">
      <c r="A146" s="301" t="n"/>
      <c r="B146" s="301" t="n"/>
      <c r="C146" s="301" t="n"/>
      <c r="D146" s="301" t="n"/>
      <c r="E146" s="301" t="n"/>
      <c r="F146" s="301" t="n"/>
      <c r="G146" s="301" t="n"/>
      <c r="H146" s="301" t="n"/>
      <c r="I146" s="301" t="n"/>
      <c r="J146" s="301" t="n"/>
      <c r="K146" s="301" t="n"/>
      <c r="L146" s="301" t="n"/>
    </row>
    <row r="147" ht="15" customHeight="1" s="221">
      <c r="A147" s="301" t="n"/>
      <c r="B147" s="301" t="n"/>
      <c r="C147" s="301" t="n"/>
      <c r="D147" s="301" t="n"/>
      <c r="E147" s="301" t="n"/>
      <c r="F147" s="301" t="n"/>
      <c r="G147" s="301" t="n"/>
      <c r="H147" s="301" t="n"/>
      <c r="I147" s="301" t="n"/>
      <c r="J147" s="301" t="n"/>
      <c r="K147" s="301" t="n"/>
      <c r="L147" s="301" t="n"/>
    </row>
    <row r="148" ht="15" customHeight="1" s="221">
      <c r="A148" s="301" t="n"/>
      <c r="B148" s="301" t="n"/>
      <c r="C148" s="301" t="n"/>
      <c r="D148" s="301" t="n"/>
      <c r="E148" s="301" t="n"/>
      <c r="F148" s="301" t="n"/>
      <c r="G148" s="301" t="n"/>
      <c r="H148" s="301" t="n"/>
      <c r="I148" s="301" t="n"/>
      <c r="J148" s="301" t="n"/>
      <c r="K148" s="301" t="n"/>
      <c r="L148" s="301" t="n"/>
    </row>
    <row r="149" ht="15" customHeight="1" s="221">
      <c r="A149" s="301" t="n"/>
      <c r="B149" s="301" t="n"/>
      <c r="C149" s="301" t="n"/>
      <c r="D149" s="301" t="n"/>
      <c r="E149" s="301" t="n"/>
      <c r="F149" s="301" t="n"/>
      <c r="G149" s="301" t="n"/>
      <c r="H149" s="301" t="n"/>
      <c r="I149" s="301" t="n"/>
      <c r="J149" s="301" t="n"/>
      <c r="K149" s="301" t="n"/>
      <c r="L149" s="301" t="n"/>
    </row>
    <row r="150" ht="15" customHeight="1" s="221">
      <c r="A150" s="301" t="n"/>
      <c r="B150" s="301" t="n"/>
      <c r="C150" s="301" t="n"/>
      <c r="D150" s="301" t="n"/>
      <c r="E150" s="301" t="n"/>
      <c r="F150" s="301" t="n"/>
      <c r="G150" s="301" t="n"/>
      <c r="H150" s="301" t="n"/>
      <c r="I150" s="301" t="n"/>
      <c r="J150" s="301" t="n"/>
      <c r="K150" s="301" t="n"/>
      <c r="L150" s="301" t="n"/>
    </row>
  </sheetData>
  <mergeCells count="35">
    <mergeCell ref="G10:I10"/>
    <mergeCell ref="A8:D8"/>
    <mergeCell ref="A73:B73"/>
    <mergeCell ref="A62:D62"/>
    <mergeCell ref="G47:J47"/>
    <mergeCell ref="G54:J54"/>
    <mergeCell ref="A28:D28"/>
    <mergeCell ref="A26:C26"/>
    <mergeCell ref="G40:J40"/>
    <mergeCell ref="J77:K77"/>
    <mergeCell ref="A30:D30"/>
    <mergeCell ref="A51:D51"/>
    <mergeCell ref="A20:C20"/>
    <mergeCell ref="A3:B3"/>
    <mergeCell ref="G3:H3"/>
    <mergeCell ref="G67:J67"/>
    <mergeCell ref="A1:J1"/>
    <mergeCell ref="G8:J8"/>
    <mergeCell ref="G9:I9"/>
    <mergeCell ref="G65:H65"/>
    <mergeCell ref="D4:E4"/>
    <mergeCell ref="A41:D41"/>
    <mergeCell ref="G12:I12"/>
    <mergeCell ref="A17:B17"/>
    <mergeCell ref="D3:E3"/>
    <mergeCell ref="G64:H64"/>
    <mergeCell ref="G28:J28"/>
    <mergeCell ref="A4:B4"/>
    <mergeCell ref="G4:H4"/>
    <mergeCell ref="A72:B72"/>
    <mergeCell ref="A6:C6"/>
    <mergeCell ref="G34:J34"/>
    <mergeCell ref="G30:J30"/>
    <mergeCell ref="A9:B9"/>
    <mergeCell ref="G45:J45"/>
  </mergeCells>
  <conditionalFormatting sqref="B33:B200">
    <cfRule type="expression" rank="0" priority="2" equalAverage="0" aboveAverage="0" dxfId="0" text="" percent="0" bottom="0">
      <formula>$B33="Pagado"</formula>
    </cfRule>
    <cfRule type="expression" rank="0" priority="3" equalAverage="0" aboveAverage="0" dxfId="1" text="" percent="0" bottom="0">
      <formula>$B33="Pendiente"</formula>
    </cfRule>
    <cfRule type="expression" rank="0" priority="4" equalAverage="0" aboveAverage="0" dxfId="2" text="" percent="0" bottom="0">
      <formula>$B33="Cancelado"</formula>
    </cfRule>
  </conditionalFormatting>
  <dataValidations count="2">
    <dataValidation sqref="B33:B200" showDropDown="0" showInputMessage="0" showErrorMessage="0" allowBlank="1" type="list" errorStyle="stop" operator="between">
      <formula1>"Ninguno,Pendiente,Pagado,Cancelado"</formula1>
      <formula2>0</formula2>
    </dataValidation>
    <dataValidation sqref="H31:H62" showDropDown="0" showInputMessage="0" showErrorMessage="0" allowBlank="1" errorTitle="Estado inválido" error="Selecciona un estado válido" type="list">
      <formula1>"Ninguno,Pendiente,Pagado,Cancelado"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2025-12-18T11:52:48Z</dcterms:created>
  <dcterms:modified xmlns:dcterms="http://purl.org/dc/terms/" xmlns:xsi="http://www.w3.org/2001/XMLSchema-instance" xsi:type="dcterms:W3CDTF">2025-12-23T10:20:05Z</dcterms:modified>
  <cp:lastModifiedBy>ESQUIVEL BARRETO MARCO ANTONIO</cp:lastModifiedBy>
  <cp:revision>0</cp:revision>
</cp:coreProperties>
</file>